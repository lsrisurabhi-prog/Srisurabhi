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9"/>
  <workbookPr/>
  <mc:AlternateContent xmlns:mc="http://schemas.openxmlformats.org/markup-compatibility/2006">
    <mc:Choice Requires="x15">
      <x15ac:absPath xmlns:x15ac="http://schemas.microsoft.com/office/spreadsheetml/2010/11/ac" url="D:\working\waccache\PN1PEPF000177C8\EXCELCNV\df163c90-9967-4b16-ab2f-2701068c685d\"/>
    </mc:Choice>
  </mc:AlternateContent>
  <xr:revisionPtr revIDLastSave="0" documentId="8_{8CBBF8A7-8F62-4BD8-9162-16CA7CC6C5B0}" xr6:coauthVersionLast="47" xr6:coauthVersionMax="47" xr10:uidLastSave="{00000000-0000-0000-0000-000000000000}"/>
  <bookViews>
    <workbookView xWindow="-60" yWindow="-60" windowWidth="15480" windowHeight="11640" firstSheet="7" activeTab="6" xr2:uid="{00000000-000D-0000-FFFF-FFFF00000000}"/>
  </bookViews>
  <sheets>
    <sheet name="Assumptions and Drivers" sheetId="1" r:id="rId1"/>
    <sheet name="Historical data" sheetId="2" r:id="rId2"/>
    <sheet name="Financial Model" sheetId="3" r:id="rId3"/>
    <sheet name="Valuation Output" sheetId="4" r:id="rId4"/>
    <sheet name="Supporting Schedules" sheetId="5" r:id="rId5"/>
    <sheet name="Sensitivity &amp; Scenarios" sheetId="6" r:id="rId6"/>
    <sheet name="Cover" sheetId="9" r:id="rId7"/>
    <sheet name="Investment Thesis"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9" l="1"/>
  <c r="C27" i="5"/>
  <c r="C19" i="5"/>
  <c r="C10" i="5"/>
  <c r="C7" i="5"/>
  <c r="C40" i="4"/>
  <c r="C26" i="4"/>
  <c r="C24" i="4"/>
  <c r="C22" i="4"/>
  <c r="H19" i="4"/>
  <c r="G19" i="4"/>
  <c r="F19" i="4"/>
  <c r="E19" i="4"/>
  <c r="D19" i="4"/>
  <c r="C9" i="4"/>
  <c r="C13" i="4" s="1"/>
  <c r="C74" i="3"/>
  <c r="C73" i="3"/>
  <c r="C72" i="3"/>
  <c r="C71" i="3"/>
  <c r="C16" i="5" s="1"/>
  <c r="C70" i="3"/>
  <c r="C66" i="3"/>
  <c r="D66" i="3" s="1"/>
  <c r="E66" i="3" s="1"/>
  <c r="F66" i="3" s="1"/>
  <c r="G66" i="3" s="1"/>
  <c r="H66" i="3" s="1"/>
  <c r="C65" i="3"/>
  <c r="C64" i="3"/>
  <c r="C63" i="3"/>
  <c r="C58" i="3"/>
  <c r="C57" i="3"/>
  <c r="C49" i="3"/>
  <c r="C48" i="3"/>
  <c r="D48" i="3" s="1"/>
  <c r="E48" i="3" s="1"/>
  <c r="F48" i="3" s="1"/>
  <c r="G48" i="3" s="1"/>
  <c r="H48" i="3" s="1"/>
  <c r="C47" i="3"/>
  <c r="C46" i="3"/>
  <c r="C45" i="3"/>
  <c r="C40" i="3"/>
  <c r="D40" i="3" s="1"/>
  <c r="E40" i="3" s="1"/>
  <c r="F40" i="3" s="1"/>
  <c r="G40" i="3" s="1"/>
  <c r="H40" i="3" s="1"/>
  <c r="C39" i="3"/>
  <c r="D39" i="3" s="1"/>
  <c r="E39" i="3" s="1"/>
  <c r="F39" i="3" s="1"/>
  <c r="G39" i="3" s="1"/>
  <c r="H39" i="3" s="1"/>
  <c r="C38" i="3"/>
  <c r="D38" i="3" s="1"/>
  <c r="C37" i="3"/>
  <c r="D37" i="3" s="1"/>
  <c r="E37" i="3" s="1"/>
  <c r="F37" i="3" s="1"/>
  <c r="G37" i="3" s="1"/>
  <c r="H37" i="3" s="1"/>
  <c r="C36" i="3"/>
  <c r="D36" i="3" s="1"/>
  <c r="C35" i="3"/>
  <c r="H27" i="3"/>
  <c r="G27" i="3"/>
  <c r="F27" i="3"/>
  <c r="E27" i="3"/>
  <c r="D27" i="3"/>
  <c r="C27" i="3"/>
  <c r="C24" i="3"/>
  <c r="H21" i="3"/>
  <c r="G21" i="3"/>
  <c r="F21" i="3"/>
  <c r="E21" i="3"/>
  <c r="D21" i="3"/>
  <c r="C21" i="3"/>
  <c r="C20" i="3"/>
  <c r="D20" i="3" s="1"/>
  <c r="C19" i="3"/>
  <c r="C16" i="3"/>
  <c r="C12" i="3"/>
  <c r="C11" i="3"/>
  <c r="C10" i="3"/>
  <c r="C13" i="3" s="1"/>
  <c r="C6" i="3"/>
  <c r="D6" i="3" s="1"/>
  <c r="E6" i="3" s="1"/>
  <c r="F6" i="3" s="1"/>
  <c r="G6" i="3" s="1"/>
  <c r="H6" i="3" s="1"/>
  <c r="C5" i="3"/>
  <c r="F124" i="2"/>
  <c r="E124" i="2"/>
  <c r="D124" i="2"/>
  <c r="C124" i="2"/>
  <c r="F117" i="2"/>
  <c r="E117" i="2"/>
  <c r="D117" i="2"/>
  <c r="C117" i="2"/>
  <c r="F75" i="2"/>
  <c r="E75" i="2"/>
  <c r="D75" i="2"/>
  <c r="C75" i="2"/>
  <c r="F67" i="2"/>
  <c r="E67" i="2"/>
  <c r="D67" i="2"/>
  <c r="C67" i="2"/>
  <c r="F59" i="2"/>
  <c r="F77" i="2" s="1"/>
  <c r="E59" i="2"/>
  <c r="E77" i="2" s="1"/>
  <c r="D59" i="2"/>
  <c r="D77" i="2" s="1"/>
  <c r="C59" i="2"/>
  <c r="C77" i="2" s="1"/>
  <c r="F51" i="2"/>
  <c r="E51" i="2"/>
  <c r="D51" i="2"/>
  <c r="C51" i="2"/>
  <c r="F42" i="2"/>
  <c r="F53" i="2" s="1"/>
  <c r="F79" i="2" s="1"/>
  <c r="E42" i="2"/>
  <c r="E53" i="2" s="1"/>
  <c r="E79" i="2" s="1"/>
  <c r="D42" i="2"/>
  <c r="D53" i="2" s="1"/>
  <c r="D79" i="2" s="1"/>
  <c r="C42" i="2"/>
  <c r="C53" i="2" s="1"/>
  <c r="C79" i="2" s="1"/>
  <c r="F15" i="2"/>
  <c r="E15" i="2"/>
  <c r="D15" i="2"/>
  <c r="C15" i="2"/>
  <c r="F9" i="2"/>
  <c r="F17" i="2" s="1"/>
  <c r="F19" i="2" s="1"/>
  <c r="F23" i="2" s="1"/>
  <c r="E9" i="2"/>
  <c r="E17" i="2" s="1"/>
  <c r="E19" i="2" s="1"/>
  <c r="E23" i="2" s="1"/>
  <c r="D9" i="2"/>
  <c r="D17" i="2" s="1"/>
  <c r="D19" i="2" s="1"/>
  <c r="D23" i="2" s="1"/>
  <c r="C9" i="2"/>
  <c r="C17" i="2" s="1"/>
  <c r="C19" i="2" s="1"/>
  <c r="C23" i="2" s="1"/>
  <c r="C34" i="1"/>
  <c r="C33" i="1"/>
  <c r="C32" i="1"/>
  <c r="C31" i="1"/>
  <c r="C30" i="1"/>
  <c r="G29" i="1"/>
  <c r="F29" i="1"/>
  <c r="E29" i="1"/>
  <c r="D29" i="1"/>
  <c r="C29" i="1"/>
  <c r="C85" i="2" l="1"/>
  <c r="C90" i="2" s="1"/>
  <c r="C99" i="2" s="1"/>
  <c r="C101" i="2" s="1"/>
  <c r="C25" i="2"/>
  <c r="C27" i="2" s="1"/>
  <c r="D85" i="2"/>
  <c r="D90" i="2" s="1"/>
  <c r="D99" i="2" s="1"/>
  <c r="D101" i="2" s="1"/>
  <c r="D25" i="2"/>
  <c r="D27" i="2" s="1"/>
  <c r="E85" i="2"/>
  <c r="E90" i="2" s="1"/>
  <c r="E99" i="2" s="1"/>
  <c r="E101" i="2" s="1"/>
  <c r="E25" i="2"/>
  <c r="E27" i="2" s="1"/>
  <c r="C23" i="3"/>
  <c r="C26" i="3" s="1"/>
  <c r="F85" i="2"/>
  <c r="F90" i="2" s="1"/>
  <c r="F99" i="2" s="1"/>
  <c r="F101" i="2" s="1"/>
  <c r="F25" i="2"/>
  <c r="C14" i="9"/>
  <c r="C17" i="4"/>
  <c r="C7" i="3"/>
  <c r="C15" i="3" s="1"/>
  <c r="D5" i="3"/>
  <c r="C8" i="5"/>
  <c r="C21" i="4"/>
  <c r="D101" i="3"/>
  <c r="D88" i="3"/>
  <c r="E20" i="3"/>
  <c r="C19" i="4"/>
  <c r="C9" i="5"/>
  <c r="D6" i="5"/>
  <c r="C6" i="5"/>
  <c r="C42" i="3"/>
  <c r="D100" i="3"/>
  <c r="E36" i="3"/>
  <c r="D99" i="3"/>
  <c r="E38" i="3"/>
  <c r="C13" i="5"/>
  <c r="C51" i="3"/>
  <c r="C14" i="5"/>
  <c r="C36" i="4"/>
  <c r="D111" i="3"/>
  <c r="C15" i="5"/>
  <c r="D49" i="3"/>
  <c r="C59" i="3"/>
  <c r="C38" i="4"/>
  <c r="D58" i="3"/>
  <c r="E58" i="3" s="1"/>
  <c r="F58" i="3" s="1"/>
  <c r="G58" i="3" s="1"/>
  <c r="H58" i="3" s="1"/>
  <c r="C22" i="5"/>
  <c r="C67" i="3"/>
  <c r="D63" i="3"/>
  <c r="C24" i="5"/>
  <c r="D64" i="3"/>
  <c r="C23" i="5"/>
  <c r="C75" i="3"/>
  <c r="D70" i="3"/>
  <c r="C25" i="5"/>
  <c r="D72" i="3"/>
  <c r="C17" i="5"/>
  <c r="D74" i="3"/>
  <c r="C9" i="9"/>
  <c r="H26" i="4"/>
  <c r="G26" i="4"/>
  <c r="F26" i="4"/>
  <c r="E26" i="4"/>
  <c r="D26" i="4"/>
  <c r="D17" i="5" l="1"/>
  <c r="D92" i="3"/>
  <c r="D25" i="5"/>
  <c r="E72" i="3"/>
  <c r="D23" i="5"/>
  <c r="E70" i="3"/>
  <c r="D24" i="5"/>
  <c r="D107" i="3"/>
  <c r="E64" i="3"/>
  <c r="D22" i="5"/>
  <c r="D26" i="5" s="1"/>
  <c r="D106" i="3"/>
  <c r="E63" i="3"/>
  <c r="C26" i="5"/>
  <c r="C35" i="4" s="1"/>
  <c r="C37" i="4" s="1"/>
  <c r="C77" i="3"/>
  <c r="D15" i="5"/>
  <c r="E49" i="3"/>
  <c r="C18" i="5"/>
  <c r="C23" i="4" s="1"/>
  <c r="E99" i="3"/>
  <c r="F38" i="3"/>
  <c r="E100" i="3"/>
  <c r="F36" i="3"/>
  <c r="C53" i="3"/>
  <c r="E101" i="3"/>
  <c r="E88" i="3"/>
  <c r="F20" i="3"/>
  <c r="D14" i="9"/>
  <c r="D17" i="4"/>
  <c r="D46" i="3"/>
  <c r="D19" i="3"/>
  <c r="D16" i="3"/>
  <c r="D12" i="3"/>
  <c r="D11" i="3"/>
  <c r="D10" i="3"/>
  <c r="D7" i="3"/>
  <c r="E5" i="3"/>
  <c r="C28" i="1"/>
  <c r="C15" i="9"/>
  <c r="C18" i="3"/>
  <c r="C18" i="4" s="1"/>
  <c r="C20" i="4" s="1"/>
  <c r="C25" i="4" s="1"/>
  <c r="F27" i="2"/>
  <c r="C19" i="1"/>
  <c r="D19" i="1" s="1"/>
  <c r="E19" i="1" s="1"/>
  <c r="F19" i="1" s="1"/>
  <c r="G19" i="1" s="1"/>
  <c r="C16" i="9"/>
  <c r="C28" i="3"/>
  <c r="C17" i="9" l="1"/>
  <c r="C27" i="4"/>
  <c r="D7" i="5"/>
  <c r="D35" i="3"/>
  <c r="E14" i="9"/>
  <c r="E17" i="4"/>
  <c r="E46" i="3"/>
  <c r="E19" i="3"/>
  <c r="E16" i="3"/>
  <c r="E12" i="3"/>
  <c r="E11" i="3"/>
  <c r="E10" i="3"/>
  <c r="E7" i="3"/>
  <c r="F5" i="3"/>
  <c r="D28" i="1"/>
  <c r="E7" i="5" s="1"/>
  <c r="E74" i="3"/>
  <c r="D71" i="3"/>
  <c r="D45" i="3"/>
  <c r="D13" i="3"/>
  <c r="D15" i="3" s="1"/>
  <c r="D8" i="5"/>
  <c r="D21" i="4"/>
  <c r="D86" i="3"/>
  <c r="D105" i="3"/>
  <c r="D87" i="3"/>
  <c r="D14" i="5"/>
  <c r="E89" i="3"/>
  <c r="D89" i="3"/>
  <c r="F101" i="3"/>
  <c r="F88" i="3"/>
  <c r="G20" i="3"/>
  <c r="F100" i="3"/>
  <c r="G36" i="3"/>
  <c r="F99" i="3"/>
  <c r="G38" i="3"/>
  <c r="E15" i="5"/>
  <c r="F49" i="3"/>
  <c r="C79" i="3"/>
  <c r="E22" i="5"/>
  <c r="E106" i="3"/>
  <c r="F63" i="3"/>
  <c r="D27" i="5"/>
  <c r="E24" i="5"/>
  <c r="E107" i="3"/>
  <c r="F64" i="3"/>
  <c r="E23" i="5"/>
  <c r="F70" i="3"/>
  <c r="E25" i="5"/>
  <c r="F72" i="3"/>
  <c r="F25" i="5" l="1"/>
  <c r="G72" i="3"/>
  <c r="F23" i="5"/>
  <c r="G70" i="3"/>
  <c r="F24" i="5"/>
  <c r="F107" i="3"/>
  <c r="G64" i="3"/>
  <c r="F22" i="5"/>
  <c r="F26" i="5" s="1"/>
  <c r="F106" i="3"/>
  <c r="G63" i="3"/>
  <c r="E26" i="5"/>
  <c r="E27" i="5" s="1"/>
  <c r="F15" i="5"/>
  <c r="G49" i="3"/>
  <c r="G99" i="3"/>
  <c r="H38" i="3"/>
  <c r="H99" i="3" s="1"/>
  <c r="G100" i="3"/>
  <c r="H36" i="3"/>
  <c r="H100" i="3" s="1"/>
  <c r="G101" i="3"/>
  <c r="G88" i="3"/>
  <c r="H20" i="3"/>
  <c r="D15" i="9"/>
  <c r="D18" i="3"/>
  <c r="D13" i="5"/>
  <c r="D90" i="3"/>
  <c r="D16" i="5"/>
  <c r="D91" i="3"/>
  <c r="E17" i="5"/>
  <c r="E92" i="3"/>
  <c r="F74" i="3"/>
  <c r="F14" i="9"/>
  <c r="F17" i="4"/>
  <c r="F46" i="3"/>
  <c r="F19" i="3"/>
  <c r="F16" i="3"/>
  <c r="F12" i="3"/>
  <c r="F11" i="3"/>
  <c r="F10" i="3"/>
  <c r="F7" i="3"/>
  <c r="G5" i="3"/>
  <c r="E28" i="1"/>
  <c r="F7" i="5" s="1"/>
  <c r="E71" i="3"/>
  <c r="E45" i="3"/>
  <c r="E13" i="3"/>
  <c r="E15" i="3" s="1"/>
  <c r="E8" i="5"/>
  <c r="E21" i="4"/>
  <c r="E86" i="3"/>
  <c r="E85" i="3"/>
  <c r="E105" i="3"/>
  <c r="E87" i="3"/>
  <c r="E14" i="5"/>
  <c r="F89" i="3"/>
  <c r="D9" i="5"/>
  <c r="E6" i="5"/>
  <c r="D98" i="3"/>
  <c r="D42" i="3"/>
  <c r="E35" i="3"/>
  <c r="D65" i="3"/>
  <c r="D10" i="5"/>
  <c r="E65" i="3" l="1"/>
  <c r="D67" i="3"/>
  <c r="E9" i="5"/>
  <c r="F6" i="5"/>
  <c r="E98" i="3"/>
  <c r="E42" i="3"/>
  <c r="F35" i="3"/>
  <c r="D22" i="4"/>
  <c r="D102" i="3"/>
  <c r="E10" i="5"/>
  <c r="E15" i="9"/>
  <c r="E18" i="3"/>
  <c r="E13" i="5"/>
  <c r="E90" i="3"/>
  <c r="E16" i="5"/>
  <c r="E91" i="3"/>
  <c r="G14" i="9"/>
  <c r="G17" i="4"/>
  <c r="G46" i="3"/>
  <c r="G19" i="3"/>
  <c r="G16" i="3"/>
  <c r="G12" i="3"/>
  <c r="G11" i="3"/>
  <c r="G10" i="3"/>
  <c r="G7" i="3"/>
  <c r="H5" i="3"/>
  <c r="F28" i="1"/>
  <c r="G7" i="5" s="1"/>
  <c r="F71" i="3"/>
  <c r="F45" i="3"/>
  <c r="F13" i="3"/>
  <c r="F15" i="3" s="1"/>
  <c r="F8" i="5"/>
  <c r="F21" i="4"/>
  <c r="F86" i="3"/>
  <c r="F85" i="3"/>
  <c r="F105" i="3"/>
  <c r="F87" i="3"/>
  <c r="F14" i="5"/>
  <c r="G89" i="3"/>
  <c r="F17" i="5"/>
  <c r="F92" i="3"/>
  <c r="G74" i="3"/>
  <c r="D18" i="5"/>
  <c r="D18" i="4"/>
  <c r="D20" i="4" s="1"/>
  <c r="D23" i="3"/>
  <c r="H101" i="3"/>
  <c r="H88" i="3"/>
  <c r="G15" i="5"/>
  <c r="H49" i="3"/>
  <c r="H15" i="5" s="1"/>
  <c r="G22" i="5"/>
  <c r="G106" i="3"/>
  <c r="H63" i="3"/>
  <c r="F27" i="5"/>
  <c r="G24" i="5"/>
  <c r="G107" i="3"/>
  <c r="H64" i="3"/>
  <c r="G23" i="5"/>
  <c r="H70" i="3"/>
  <c r="G25" i="5"/>
  <c r="H72" i="3"/>
  <c r="H25" i="5" s="1"/>
  <c r="H23" i="5" l="1"/>
  <c r="H24" i="5"/>
  <c r="H107" i="3"/>
  <c r="H22" i="5"/>
  <c r="H26" i="5" s="1"/>
  <c r="H106" i="3"/>
  <c r="G26" i="5"/>
  <c r="G27" i="5" s="1"/>
  <c r="D84" i="3"/>
  <c r="D93" i="3" s="1"/>
  <c r="D24" i="3"/>
  <c r="D19" i="5"/>
  <c r="D24" i="4" s="1"/>
  <c r="D25" i="4" s="1"/>
  <c r="D23" i="4"/>
  <c r="G17" i="5"/>
  <c r="G92" i="3"/>
  <c r="H74" i="3"/>
  <c r="F15" i="9"/>
  <c r="F18" i="3"/>
  <c r="F13" i="5"/>
  <c r="F90" i="3"/>
  <c r="F16" i="5"/>
  <c r="F91" i="3"/>
  <c r="H14" i="9"/>
  <c r="H17" i="4"/>
  <c r="H46" i="3"/>
  <c r="H14" i="5" s="1"/>
  <c r="H19" i="3"/>
  <c r="H16" i="3"/>
  <c r="H12" i="3"/>
  <c r="H11" i="3"/>
  <c r="H10" i="3"/>
  <c r="H7" i="3"/>
  <c r="G28" i="1"/>
  <c r="H7" i="5" s="1"/>
  <c r="G71" i="3"/>
  <c r="G45" i="3"/>
  <c r="G13" i="3"/>
  <c r="G15" i="3" s="1"/>
  <c r="G8" i="5"/>
  <c r="G21" i="4"/>
  <c r="G86" i="3"/>
  <c r="G85" i="3"/>
  <c r="G105" i="3"/>
  <c r="G87" i="3"/>
  <c r="G14" i="5"/>
  <c r="H89" i="3"/>
  <c r="E18" i="5"/>
  <c r="E18" i="4"/>
  <c r="E20" i="4" s="1"/>
  <c r="E23" i="3"/>
  <c r="F9" i="5"/>
  <c r="G6" i="5"/>
  <c r="F98" i="3"/>
  <c r="F42" i="3"/>
  <c r="G35" i="3"/>
  <c r="E22" i="4"/>
  <c r="E102" i="3"/>
  <c r="F10" i="5"/>
  <c r="F65" i="3"/>
  <c r="E67" i="3"/>
  <c r="G65" i="3" l="1"/>
  <c r="F67" i="3"/>
  <c r="G9" i="5"/>
  <c r="H6" i="5"/>
  <c r="G98" i="3"/>
  <c r="G42" i="3"/>
  <c r="H35" i="3"/>
  <c r="F22" i="4"/>
  <c r="F102" i="3"/>
  <c r="G10" i="5"/>
  <c r="E84" i="3"/>
  <c r="E93" i="3" s="1"/>
  <c r="E24" i="3"/>
  <c r="E19" i="5"/>
  <c r="E24" i="4" s="1"/>
  <c r="E25" i="4" s="1"/>
  <c r="E23" i="4"/>
  <c r="G15" i="9"/>
  <c r="G18" i="3"/>
  <c r="G13" i="5"/>
  <c r="G90" i="3"/>
  <c r="G16" i="5"/>
  <c r="G91" i="3"/>
  <c r="H71" i="3"/>
  <c r="H45" i="3"/>
  <c r="H13" i="3"/>
  <c r="H15" i="3" s="1"/>
  <c r="H8" i="5"/>
  <c r="H21" i="4"/>
  <c r="H86" i="3"/>
  <c r="H85" i="3"/>
  <c r="H105" i="3"/>
  <c r="H87" i="3"/>
  <c r="F18" i="5"/>
  <c r="F18" i="4"/>
  <c r="F20" i="4" s="1"/>
  <c r="F23" i="3"/>
  <c r="H17" i="5"/>
  <c r="H92" i="3"/>
  <c r="D17" i="9"/>
  <c r="D27" i="4"/>
  <c r="D73" i="3"/>
  <c r="D26" i="3"/>
  <c r="H27" i="5"/>
  <c r="D16" i="9" l="1"/>
  <c r="D108" i="3"/>
  <c r="D109" i="3" s="1"/>
  <c r="D28" i="3"/>
  <c r="D57" i="3"/>
  <c r="E73" i="3"/>
  <c r="D75" i="3"/>
  <c r="D94" i="3"/>
  <c r="D95" i="3" s="1"/>
  <c r="D110" i="3" s="1"/>
  <c r="D112" i="3" s="1"/>
  <c r="F84" i="3"/>
  <c r="F93" i="3" s="1"/>
  <c r="F24" i="3"/>
  <c r="F19" i="5"/>
  <c r="F24" i="4" s="1"/>
  <c r="F25" i="4" s="1"/>
  <c r="F23" i="4"/>
  <c r="H15" i="9"/>
  <c r="H18" i="3"/>
  <c r="H13" i="5"/>
  <c r="H90" i="3"/>
  <c r="H16" i="5"/>
  <c r="H91" i="3"/>
  <c r="G18" i="5"/>
  <c r="G18" i="4"/>
  <c r="G20" i="4" s="1"/>
  <c r="G23" i="3"/>
  <c r="E17" i="9"/>
  <c r="E27" i="4"/>
  <c r="E94" i="3"/>
  <c r="E26" i="3"/>
  <c r="E95" i="3"/>
  <c r="H9" i="5"/>
  <c r="H98" i="3"/>
  <c r="H42" i="3"/>
  <c r="G22" i="4"/>
  <c r="G102" i="3"/>
  <c r="H10" i="5"/>
  <c r="H65" i="3"/>
  <c r="H67" i="3" s="1"/>
  <c r="G67" i="3"/>
  <c r="H22" i="4" l="1"/>
  <c r="H102" i="3"/>
  <c r="E96" i="3"/>
  <c r="E103" i="3" s="1"/>
  <c r="E16" i="9"/>
  <c r="E108" i="3"/>
  <c r="E109" i="3" s="1"/>
  <c r="E110" i="3" s="1"/>
  <c r="E28" i="3"/>
  <c r="G84" i="3"/>
  <c r="G93" i="3" s="1"/>
  <c r="G24" i="3"/>
  <c r="G19" i="5"/>
  <c r="G24" i="4" s="1"/>
  <c r="G25" i="4" s="1"/>
  <c r="G23" i="4"/>
  <c r="H18" i="5"/>
  <c r="H18" i="4"/>
  <c r="H20" i="4" s="1"/>
  <c r="H23" i="3"/>
  <c r="F17" i="9"/>
  <c r="F27" i="4"/>
  <c r="F26" i="3"/>
  <c r="E111" i="3"/>
  <c r="E112" i="3" s="1"/>
  <c r="D47" i="3"/>
  <c r="F73" i="3"/>
  <c r="E75" i="3"/>
  <c r="D59" i="3"/>
  <c r="D77" i="3" s="1"/>
  <c r="E57" i="3"/>
  <c r="E59" i="3" l="1"/>
  <c r="E77" i="3" s="1"/>
  <c r="F57" i="3"/>
  <c r="G73" i="3"/>
  <c r="F75" i="3"/>
  <c r="F94" i="3"/>
  <c r="F95" i="3" s="1"/>
  <c r="E104" i="3"/>
  <c r="D51" i="3"/>
  <c r="D53" i="3" s="1"/>
  <c r="D79" i="3" s="1"/>
  <c r="F111" i="3"/>
  <c r="E47" i="3"/>
  <c r="F16" i="9"/>
  <c r="F108" i="3"/>
  <c r="F109" i="3" s="1"/>
  <c r="F28" i="3"/>
  <c r="H84" i="3"/>
  <c r="H93" i="3" s="1"/>
  <c r="H24" i="3"/>
  <c r="H19" i="5"/>
  <c r="H24" i="4" s="1"/>
  <c r="H25" i="4" s="1"/>
  <c r="H23" i="4"/>
  <c r="G17" i="9"/>
  <c r="G27" i="4"/>
  <c r="G94" i="3"/>
  <c r="G26" i="3"/>
  <c r="G95" i="3"/>
  <c r="G96" i="3" l="1"/>
  <c r="G103" i="3" s="1"/>
  <c r="G16" i="9"/>
  <c r="G108" i="3"/>
  <c r="G109" i="3" s="1"/>
  <c r="G110" i="3" s="1"/>
  <c r="G28" i="3"/>
  <c r="H17" i="9"/>
  <c r="C31" i="4"/>
  <c r="C32" i="4" s="1"/>
  <c r="H27" i="4"/>
  <c r="C30" i="4" s="1"/>
  <c r="F19" i="6"/>
  <c r="G19" i="6" s="1"/>
  <c r="H19" i="6" s="1"/>
  <c r="G32" i="10" s="1"/>
  <c r="F18" i="6"/>
  <c r="G18" i="6" s="1"/>
  <c r="H18" i="6" s="1"/>
  <c r="G31" i="10" s="1"/>
  <c r="F17" i="6"/>
  <c r="G17" i="6" s="1"/>
  <c r="H17" i="6" s="1"/>
  <c r="G30" i="10" s="1"/>
  <c r="H12" i="6"/>
  <c r="G12" i="6"/>
  <c r="F12" i="6"/>
  <c r="E12" i="6"/>
  <c r="D12" i="6"/>
  <c r="H11" i="6"/>
  <c r="G11" i="6"/>
  <c r="F11" i="6"/>
  <c r="E11" i="6"/>
  <c r="D11" i="6"/>
  <c r="H10" i="6"/>
  <c r="G10" i="6"/>
  <c r="F10" i="6"/>
  <c r="E10" i="6"/>
  <c r="D10" i="6"/>
  <c r="H9" i="6"/>
  <c r="G9" i="6"/>
  <c r="F9" i="6"/>
  <c r="E9" i="6"/>
  <c r="D9" i="6"/>
  <c r="H8" i="6"/>
  <c r="G8" i="6"/>
  <c r="F8" i="6"/>
  <c r="E8" i="6"/>
  <c r="D8" i="6"/>
  <c r="H26" i="3"/>
  <c r="F104" i="3"/>
  <c r="E51" i="3"/>
  <c r="E53" i="3" s="1"/>
  <c r="F110" i="3"/>
  <c r="F112" i="3" s="1"/>
  <c r="F96" i="3"/>
  <c r="F103" i="3" s="1"/>
  <c r="H73" i="3"/>
  <c r="G75" i="3"/>
  <c r="F59" i="3"/>
  <c r="F77" i="3" s="1"/>
  <c r="G57" i="3"/>
  <c r="E79" i="3"/>
  <c r="G59" i="3" l="1"/>
  <c r="G77" i="3" s="1"/>
  <c r="H57" i="3"/>
  <c r="H59" i="3" s="1"/>
  <c r="H75" i="3"/>
  <c r="H94" i="3"/>
  <c r="H95" i="3" s="1"/>
  <c r="G111" i="3"/>
  <c r="G112" i="3" s="1"/>
  <c r="F47" i="3"/>
  <c r="H16" i="9"/>
  <c r="H108" i="3"/>
  <c r="H109" i="3" s="1"/>
  <c r="H28" i="3"/>
  <c r="C33" i="4"/>
  <c r="C34" i="4" s="1"/>
  <c r="C7" i="9" l="1"/>
  <c r="C39" i="4"/>
  <c r="G104" i="3"/>
  <c r="F51" i="3"/>
  <c r="F53" i="3" s="1"/>
  <c r="F79" i="3" s="1"/>
  <c r="H111" i="3"/>
  <c r="G47" i="3"/>
  <c r="H110" i="3"/>
  <c r="H96" i="3"/>
  <c r="H103" i="3" s="1"/>
  <c r="H77" i="3"/>
  <c r="H104" i="3" l="1"/>
  <c r="G51" i="3"/>
  <c r="G53" i="3" s="1"/>
  <c r="G79" i="3" s="1"/>
  <c r="H112" i="3"/>
  <c r="C8" i="9"/>
  <c r="C41" i="4"/>
  <c r="G33" i="10" l="1"/>
  <c r="C6" i="9"/>
  <c r="H47" i="3"/>
  <c r="H51" i="3" l="1"/>
  <c r="H53" i="3" s="1"/>
  <c r="H79" i="3" s="1"/>
</calcChain>
</file>

<file path=xl/sharedStrings.xml><?xml version="1.0" encoding="utf-8"?>
<sst xmlns="http://schemas.openxmlformats.org/spreadsheetml/2006/main" count="523" uniqueCount="369">
  <si>
    <t>ASIAN PAINTS — FORECAST ASSUMPTIONS &amp; DRIVERS</t>
  </si>
  <si>
    <t>REVENUE DRIVERS</t>
  </si>
  <si>
    <t>FY27</t>
  </si>
  <si>
    <t>FY28</t>
  </si>
  <si>
    <t>FY29</t>
  </si>
  <si>
    <t>FY30</t>
  </si>
  <si>
    <t>FY31</t>
  </si>
  <si>
    <t>Rationale</t>
  </si>
  <si>
    <t>Revenue Growth</t>
  </si>
  <si>
    <t>Other Income</t>
  </si>
  <si>
    <t>COST ASSUMPTIONS</t>
  </si>
  <si>
    <t>Gross Margin</t>
  </si>
  <si>
    <t>Employee Cost Growth</t>
  </si>
  <si>
    <t>Other Expenses  (% Revenue)</t>
  </si>
  <si>
    <t>EBIT Margin</t>
  </si>
  <si>
    <t>EBITDA Margin</t>
  </si>
  <si>
    <t>PAT Margin</t>
  </si>
  <si>
    <t>Depreciation (% Revenue)</t>
  </si>
  <si>
    <t>Finance cost  (% Revenue)</t>
  </si>
  <si>
    <t>Share of Profit(in cr)</t>
  </si>
  <si>
    <t>Exceptional items</t>
  </si>
  <si>
    <t>Effective Tax Rate</t>
  </si>
  <si>
    <t>OCI</t>
  </si>
  <si>
    <t>Dividend Payout Ratio (proxy, from Historical CFS)</t>
  </si>
  <si>
    <t>Forecast payout ratio currently equals the historical consolidated cash-dividend proxy (~72.1%). This differs from the company's stated 60% payout policy based on standalone PAT; choose one basis consistently.</t>
  </si>
  <si>
    <t>WORKING CAPITAL</t>
  </si>
  <si>
    <t>Inventory Days</t>
  </si>
  <si>
    <t>Receivable Days</t>
  </si>
  <si>
    <t>Payable Days</t>
  </si>
  <si>
    <t>CAPITAL STRUCTURE</t>
  </si>
  <si>
    <t>Capex (% Revenue)</t>
  </si>
  <si>
    <t>PPE capex assumption. Note that total D&amp;A includes PPE, ROU depreciation and amortization; a fully detailed model would split these.</t>
  </si>
  <si>
    <t xml:space="preserve">Capex </t>
  </si>
  <si>
    <t>Depreciation &amp; Amortization (% Revenue)</t>
  </si>
  <si>
    <t>Linked to the operating-model depreciation assumption.</t>
  </si>
  <si>
    <t>WACC</t>
  </si>
  <si>
    <t>Linked to Valuation Output; calculated from cost of equity, debt cost and capital structure.</t>
  </si>
  <si>
    <t>Terminal Growth</t>
  </si>
  <si>
    <t>Linked to Valuation Output; Gordon Growth terminal assumption.</t>
  </si>
  <si>
    <t>Risk-free Rate</t>
  </si>
  <si>
    <t>Linked to Valuation Output; Indian government bond yield proxy.</t>
  </si>
  <si>
    <t>ERP</t>
  </si>
  <si>
    <t>Linked to Valuation Output; equity risk premium judgment.</t>
  </si>
  <si>
    <t>Beta</t>
  </si>
  <si>
    <t>Linked to Valuation Output; levered beta judgment.</t>
  </si>
  <si>
    <t>MODEL COLOR CONVENTION</t>
  </si>
  <si>
    <t>Blue font / pale yellow fill</t>
  </si>
  <si>
    <t>Editable operating assumptions</t>
  </si>
  <si>
    <t>Green font</t>
  </si>
  <si>
    <t>Links to other workbook tabs</t>
  </si>
  <si>
    <t>Black font</t>
  </si>
  <si>
    <t>Calculated formulas</t>
  </si>
  <si>
    <t>Red parentheses</t>
  </si>
  <si>
    <t>Negative values</t>
  </si>
  <si>
    <t>Asian Paints Limited</t>
  </si>
  <si>
    <t>Historical Consolidated Income Statement (Fully Dynamic Formulas)</t>
  </si>
  <si>
    <t>HISTORICAL INCOME STATEMENT</t>
  </si>
  <si>
    <t>Historical Balance Sheet</t>
  </si>
  <si>
    <t>Income Statement (₹ Cr)</t>
  </si>
  <si>
    <t>FY23A</t>
  </si>
  <si>
    <t>FY24A</t>
  </si>
  <si>
    <t>FY25A</t>
  </si>
  <si>
    <t>FY26A</t>
  </si>
  <si>
    <t>REVENUE FROM OPERATIONS</t>
  </si>
  <si>
    <t>TOTAL INCOME (I)</t>
  </si>
  <si>
    <t>OPERATING EXPENSES</t>
  </si>
  <si>
    <t>Cost of Goods Sold</t>
  </si>
  <si>
    <t xml:space="preserve">  Employee Benefits Expense</t>
  </si>
  <si>
    <t xml:space="preserve">  Other Expenses</t>
  </si>
  <si>
    <t>TOTAL OPERATING EXPENSES (II)</t>
  </si>
  <si>
    <t>EBITDA</t>
  </si>
  <si>
    <t>Depreciation &amp; Amortization</t>
  </si>
  <si>
    <t>EBIT(Operating Profit)</t>
  </si>
  <si>
    <t>Finance Cost</t>
  </si>
  <si>
    <t>Share of Profit in Associates</t>
  </si>
  <si>
    <t>Exceptional Items</t>
  </si>
  <si>
    <t>PROFIT BEFORE TAX (PBT)</t>
  </si>
  <si>
    <t>Total Tax Expense</t>
  </si>
  <si>
    <t>PROFIT AFTER TAX (PAT)</t>
  </si>
  <si>
    <t>Other Comprehensive Income (OCI)</t>
  </si>
  <si>
    <t>Total Comprehensive Income</t>
  </si>
  <si>
    <t>HISTORICAL BALANCE SHEET</t>
  </si>
  <si>
    <t>Balance Sheet(₹ Cr)</t>
  </si>
  <si>
    <t>ASSETS</t>
  </si>
  <si>
    <t>Non-Current Assets</t>
  </si>
  <si>
    <t>Property, Plant and Equipment</t>
  </si>
  <si>
    <t>Right-of-use Assets</t>
  </si>
  <si>
    <t>Capital work-in-progress</t>
  </si>
  <si>
    <t xml:space="preserve">Intangible Assets &amp; Goodwill </t>
  </si>
  <si>
    <t xml:space="preserve">Non-Current Investments </t>
  </si>
  <si>
    <t xml:space="preserve">Other Non-Current Investments </t>
  </si>
  <si>
    <t>Total Non-Current Assets</t>
  </si>
  <si>
    <t>Current Assets</t>
  </si>
  <si>
    <t>Inventories</t>
  </si>
  <si>
    <t>Trade receivables</t>
  </si>
  <si>
    <t>Cash &amp; Cash Equivalents(other bal)</t>
  </si>
  <si>
    <t>Investments</t>
  </si>
  <si>
    <t>Other Current Assets</t>
  </si>
  <si>
    <t>Total Current Assets</t>
  </si>
  <si>
    <t>TOTAL ASSETS</t>
  </si>
  <si>
    <t>EQUITY AND LIABILITIES</t>
  </si>
  <si>
    <t>Equity</t>
  </si>
  <si>
    <t>Shareholders' Equity</t>
  </si>
  <si>
    <t>Non-Controlling Interests</t>
  </si>
  <si>
    <t>TOTAL EQUITY</t>
  </si>
  <si>
    <t>Liabilities</t>
  </si>
  <si>
    <t>Non-Current Liabilities</t>
  </si>
  <si>
    <t>Long term Borrowings</t>
  </si>
  <si>
    <t>Lease Liabilities</t>
  </si>
  <si>
    <t>Deferred Tax Liabilities</t>
  </si>
  <si>
    <t>Other Non-Current Liabilities</t>
  </si>
  <si>
    <t>Total Non-Current Liabilities</t>
  </si>
  <si>
    <t>Current Liabilities</t>
  </si>
  <si>
    <t>Short-Term Borrowings</t>
  </si>
  <si>
    <t>Trade Payables</t>
  </si>
  <si>
    <t>Lease Liabilities (Current)</t>
  </si>
  <si>
    <t>Income Tax Liabilities</t>
  </si>
  <si>
    <t>Other Current Liabilities</t>
  </si>
  <si>
    <t>Total Current Liabilities</t>
  </si>
  <si>
    <t>TOTAL EQUITY AND LIABILITIES</t>
  </si>
  <si>
    <t>Balance check</t>
  </si>
  <si>
    <t>HISTORICAL CASH FLOW STATEMENT</t>
  </si>
  <si>
    <t>Cash Flow Statement(₹ Cr)</t>
  </si>
  <si>
    <t>CASH FLOW FROM OPERATING ACTIVITIES</t>
  </si>
  <si>
    <t>Profit Before Tax</t>
  </si>
  <si>
    <t>Non-Cash &amp; Non-Operating Adjustments</t>
  </si>
  <si>
    <t>Depreciation &amp; Amortization Expense</t>
  </si>
  <si>
    <t>Finance Costs</t>
  </si>
  <si>
    <t>Other Non-Cash Adjustments (Net)</t>
  </si>
  <si>
    <t>Operating Profit Before WC Changes</t>
  </si>
  <si>
    <t>(+/-) Decrease / (Increase) in Trade Receivables</t>
  </si>
  <si>
    <t>(+/-) Decrease / (Increase) in Inventories</t>
  </si>
  <si>
    <t>Decrease in Financial Assets</t>
  </si>
  <si>
    <t>(+/-) Decrease / (Increase) in Other Assets</t>
  </si>
  <si>
    <t>(+/-) Increase / (Decrease) in Payables &amp; Liab.</t>
  </si>
  <si>
    <t>Increase in Other Financial Liabilities</t>
  </si>
  <si>
    <t>Increase in Other Liabilities and Provisions</t>
  </si>
  <si>
    <t>Forex &amp; Non-Operating Cash Adjustments</t>
  </si>
  <si>
    <t>Cash Generated from Operations</t>
  </si>
  <si>
    <t>(-) Income Tax Paid (Net of Refund)</t>
  </si>
  <si>
    <t>NET CASH FROM OPERATING ACTIVITIES (A)</t>
  </si>
  <si>
    <t>CASH FLOW FROM INVESTING ACTIVITIES</t>
  </si>
  <si>
    <t>Purchase of property, plant and equipment and other intangible assets</t>
  </si>
  <si>
    <t>Sale of property, plant and equipment</t>
  </si>
  <si>
    <t>Payment for acquiring right-of-use assets</t>
  </si>
  <si>
    <t>Purchase of non-current investments</t>
  </si>
  <si>
    <t>Sale of non-current investments</t>
  </si>
  <si>
    <t>Sale of current investments (net)</t>
  </si>
  <si>
    <t>Purchase of term deposits (net)</t>
  </si>
  <si>
    <t>Investment Associate</t>
  </si>
  <si>
    <t>-</t>
  </si>
  <si>
    <t>Amount paid towards acquiring controlling stake in subsidiaries (net)</t>
  </si>
  <si>
    <t>Payment of earnout</t>
  </si>
  <si>
    <t>Interest received</t>
  </si>
  <si>
    <t>Dividend received from Associate</t>
  </si>
  <si>
    <t>Dividend received from others</t>
  </si>
  <si>
    <t>NET CASH USED IN INVESTING ACTIVITIES (B)</t>
  </si>
  <si>
    <t>CASH FLOW FROM FINANCING ACTIVITIES</t>
  </si>
  <si>
    <t>Net Change in Borrowings</t>
  </si>
  <si>
    <t>Repayment of Lease Liabilities</t>
  </si>
  <si>
    <t>Finance Costs Paid</t>
  </si>
  <si>
    <t>Dividends &amp; Capital Changes (Net)</t>
  </si>
  <si>
    <t>NET CASH USED IN FINANCING (C)</t>
  </si>
  <si>
    <t>Forecast Income Statement</t>
  </si>
  <si>
    <t>FY27E</t>
  </si>
  <si>
    <t>FY28E</t>
  </si>
  <si>
    <t>FY29E</t>
  </si>
  <si>
    <t>FY30E</t>
  </si>
  <si>
    <t>FY31E</t>
  </si>
  <si>
    <t xml:space="preserve">REVENUE </t>
  </si>
  <si>
    <t>Employee Benefits Expense</t>
  </si>
  <si>
    <t>Other Expenses</t>
  </si>
  <si>
    <t>Balance Sheet (₹ Cr)</t>
  </si>
  <si>
    <t>Cash Flow Statement (₹ Cr)</t>
  </si>
  <si>
    <t>Less: Share of Profit in Associates</t>
  </si>
  <si>
    <t>(Increase)/Decrease in Trade Receivables</t>
  </si>
  <si>
    <t>(Increase)/Decrease in Inventories</t>
  </si>
  <si>
    <t>Increase/(Decrease) in Trade Payables</t>
  </si>
  <si>
    <t>Increase/(Decrease) in Other Current Liabilities</t>
  </si>
  <si>
    <t>Income Tax Paid</t>
  </si>
  <si>
    <t>Capital Expenditure</t>
  </si>
  <si>
    <t>Purchase of Intangible Assets</t>
  </si>
  <si>
    <t>Payment for Acquiring Right-of-use Assets</t>
  </si>
  <si>
    <t>Dividend Received from Associates</t>
  </si>
  <si>
    <t>NET CASH USED IN INVESTING (B)</t>
  </si>
  <si>
    <t>Net Change in Lease Liabilities</t>
  </si>
  <si>
    <t>Dividends Paid</t>
  </si>
  <si>
    <t>NET CHANGE IN CASH (A+B+C)</t>
  </si>
  <si>
    <t>Opening Cash Balance</t>
  </si>
  <si>
    <t>CLOSING CASH BALANCE</t>
  </si>
  <si>
    <t>ASIAN PAINTS — DCF VALUATION</t>
  </si>
  <si>
    <t>Valuation date</t>
  </si>
  <si>
    <t>31-Mar-2026</t>
  </si>
  <si>
    <t>Method</t>
  </si>
  <si>
    <t>Unlevered FCF / Gordon Growth</t>
  </si>
  <si>
    <t>Units</t>
  </si>
  <si>
    <t>₹ Cr</t>
  </si>
  <si>
    <t>Consolidated</t>
  </si>
  <si>
    <t>WACC &amp; TERMINAL VALUE ASSUMPTIONS</t>
  </si>
  <si>
    <t>Risk-free rate</t>
  </si>
  <si>
    <t>Terminal growth</t>
  </si>
  <si>
    <t>Equity risk premium</t>
  </si>
  <si>
    <t>Shares outstanding (Cr)</t>
  </si>
  <si>
    <t>Levered beta</t>
  </si>
  <si>
    <t>Selected scenario</t>
  </si>
  <si>
    <t>Base</t>
  </si>
  <si>
    <t>Cost of equity</t>
  </si>
  <si>
    <t>Valuation convention</t>
  </si>
  <si>
    <t>Year-end discounting</t>
  </si>
  <si>
    <t>Pre-tax cost of debt</t>
  </si>
  <si>
    <t>Target equity weight</t>
  </si>
  <si>
    <t>Target debt weight</t>
  </si>
  <si>
    <t>UNLEVERED FREE CASH FLOW</t>
  </si>
  <si>
    <t>₹ Cr unless stated</t>
  </si>
  <si>
    <t>Revenue</t>
  </si>
  <si>
    <t>EBIT</t>
  </si>
  <si>
    <t>Tax rate</t>
  </si>
  <si>
    <t>NOPAT</t>
  </si>
  <si>
    <t>D&amp;A</t>
  </si>
  <si>
    <t>Capital expenditure</t>
  </si>
  <si>
    <t>Operating NWC</t>
  </si>
  <si>
    <t>Change in NWC</t>
  </si>
  <si>
    <t>Unlevered FCF</t>
  </si>
  <si>
    <t>Discount factor</t>
  </si>
  <si>
    <t>PV of UFCF</t>
  </si>
  <si>
    <t>ENTERPRISE TO EQUITY VALUE BRIDGE</t>
  </si>
  <si>
    <t>PV of forecast UFCF</t>
  </si>
  <si>
    <t>Terminal-year UFCF</t>
  </si>
  <si>
    <t>Terminal value</t>
  </si>
  <si>
    <t>PV of terminal value</t>
  </si>
  <si>
    <t>Enterprise value</t>
  </si>
  <si>
    <t>Less: Borrowings &amp; leases</t>
  </si>
  <si>
    <t>Add: Cash &amp; current investments</t>
  </si>
  <si>
    <t>Net debt / (net cash)</t>
  </si>
  <si>
    <t>Less: Non-controlling interests</t>
  </si>
  <si>
    <t>Equity value</t>
  </si>
  <si>
    <t>Implied value per share</t>
  </si>
  <si>
    <t>SUPPORTING SCHEDULES</t>
  </si>
  <si>
    <t>PROPERTY, PLANT &amp; EQUIPMENT</t>
  </si>
  <si>
    <t>Opening PPE</t>
  </si>
  <si>
    <t>Depreciation &amp; amortisation allocated to PPE</t>
  </si>
  <si>
    <t>Closing PPE</t>
  </si>
  <si>
    <t>Roll-forward check</t>
  </si>
  <si>
    <t>OPERATING WORKING CAPITAL</t>
  </si>
  <si>
    <t>Other current assets</t>
  </si>
  <si>
    <t>Less: Trade payables</t>
  </si>
  <si>
    <t>Less: Other current liabilities</t>
  </si>
  <si>
    <t>Operating net working capital</t>
  </si>
  <si>
    <t>DEBT &amp; LEASE OBLIGATIONS</t>
  </si>
  <si>
    <t>Long-term borrowings</t>
  </si>
  <si>
    <t>Short-term borrowings</t>
  </si>
  <si>
    <t>Non-current lease liabilities</t>
  </si>
  <si>
    <t>Current lease liabilities</t>
  </si>
  <si>
    <t>Total debt &amp; leases</t>
  </si>
  <si>
    <t>Annual movement</t>
  </si>
  <si>
    <t>SENSITIVITY &amp; SCENARIO ANALYSIS</t>
  </si>
  <si>
    <t>Sensitivity is formula-driven from the DCF. Scenarios use explicit UFCF multipliers, WACC and terminal growth assumptions; they do not overwrite the operating model.</t>
  </si>
  <si>
    <t>DCF VALUE PER SHARE — WACC / TERMINAL GROWTH</t>
  </si>
  <si>
    <t>WACC / g</t>
  </si>
  <si>
    <t>BEAR / BASE / BULL</t>
  </si>
  <si>
    <t>Scenario</t>
  </si>
  <si>
    <t>UFCF multiplier</t>
  </si>
  <si>
    <t>Value / share</t>
  </si>
  <si>
    <t>Bear</t>
  </si>
  <si>
    <t>Bull</t>
  </si>
  <si>
    <t>ASIAN PAINTS — EQUITY RESEARCH MODEL</t>
  </si>
  <si>
    <t>Consolidated 3-statement forecast and DCF valuation | Valuation date: 31 March 2026 | ₹ Crores unless stated</t>
  </si>
  <si>
    <t>KEY OUTPUTS</t>
  </si>
  <si>
    <t>Implied value / share</t>
  </si>
  <si>
    <t>FORECAST SNAPSHOT</t>
  </si>
  <si>
    <t>Metric</t>
  </si>
  <si>
    <t>PAT</t>
  </si>
  <si>
    <t>HOW TO USE THIS MODEL</t>
  </si>
  <si>
    <t>1. Review blue assumptions in Assumptions and Drivers and Valuation Output.</t>
  </si>
  <si>
    <t>2. Use Supporting Schedules to understand PPE, working capital, debt and leases.</t>
  </si>
  <si>
    <t>3. Review the DCF bridge and WACC/g sensitivity before discussing the implied value.</t>
  </si>
  <si>
    <t>4. Use Sensitivity &amp; Scenarios to frame downside, base and upside cases.</t>
  </si>
  <si>
    <t>5. Do not present the model until Checks shows MODEL OK and all sources/rationales are current.</t>
  </si>
  <si>
    <t>ASIAN PAINTS — INVESTMENT THESIS</t>
  </si>
  <si>
    <t>Cautiously constructive recovery case | FY26 actual base | FY27–FY31 forecast | Educational portfolio research</t>
  </si>
  <si>
    <t>THESIS IN ONE PARAGRAPH</t>
  </si>
  <si>
    <t>Asian Paints remains India’s leading paint and décor platform, supported by brand strength, manufacturing scale, product breadth and an expanding services ecosystem. The model assumes that FY25–FY26 weakness gives way to an 8.0%–9.5% revenue recovery while EBIT margins remain broadly stable. This outcome is plausible if decorative demand improves and the company protects channel relevance, but it is not assured: Birla Opus has materially expanded organised-industry capacity and distribution, increasing the risk of price, dealer-incentive and market-share pressure. The thesis is therefore a recovery case with meaningful competitive risk—not an unconditional recommendation.</t>
  </si>
  <si>
    <t>MODEL-LINKED INVESTMENT PILLARS</t>
  </si>
  <si>
    <t>1</t>
  </si>
  <si>
    <t>Franchise and distribution resilience</t>
  </si>
  <si>
    <t>Asian Paints reports leadership in Indian paints, 2.29 million KL annual domestic decorative capacity, a broad product portfolio and a large painting-services ecosystem. These capabilities support—but do not guarantee—the modeled recovery in revenue growth.</t>
  </si>
  <si>
    <t>2</t>
  </si>
  <si>
    <t>Margin and cash-generation capacity</t>
  </si>
  <si>
    <t>FY26 company disclosures show revenue from products and services up 4.3%, EBITDA up 12.4% and free cash flow up 110.4%. Backward integration, mix management and operating discipline provide a basis for the model’s broadly stable 17.4%–17.9% EBIT margin.</t>
  </si>
  <si>
    <t>3</t>
  </si>
  <si>
    <t>Adjacency and services optionality</t>
  </si>
  <si>
    <t>Waterproofing, B2B coatings, home décor and professional services broaden the customer relationship beyond paint. The model does not assign a separate option value, making successful scaling a potential upside driver rather than an embedded valuation assumption.</t>
  </si>
  <si>
    <t>WHAT MUST GO RIGHT IN THE BASE CASE</t>
  </si>
  <si>
    <t>Model assumption</t>
  </si>
  <si>
    <t>FY27–FY31 expectation</t>
  </si>
  <si>
    <t>Required business evidence</t>
  </si>
  <si>
    <t>Assessment</t>
  </si>
  <si>
    <t>Revenue growth</t>
  </si>
  <si>
    <t>9.5% declining to 8.0%</t>
  </si>
  <si>
    <t>Decorative volumes and price/mix recover despite stronger competition</t>
  </si>
  <si>
    <t>Most demanding assumption; recent history was materially weaker</t>
  </si>
  <si>
    <t>EBIT margin</t>
  </si>
  <si>
    <t>17.4%–17.9%</t>
  </si>
  <si>
    <t>Input-cost control and operating leverage offset promotional intensity</t>
  </si>
  <si>
    <t>Reasonable but vulnerable to price competition and adverse mix</t>
  </si>
  <si>
    <t>Capex</t>
  </si>
  <si>
    <t>5.0% of revenue</t>
  </si>
  <si>
    <t>Investment supports capacity/efficiency without depressing cash conversion</t>
  </si>
  <si>
    <t>Conservative cash-investment assumption relative to a low-capex recovery</t>
  </si>
  <si>
    <t>Working capital</t>
  </si>
  <si>
    <t>105 / 46 / 71 days</t>
  </si>
  <si>
    <t>Inventory, receivables and payables remain controlled during recovery</t>
  </si>
  <si>
    <t>Requires execution discipline; monitored through the model’s NWC schedule</t>
  </si>
  <si>
    <t>KEY RISKS AND DISCONFIRMING EVIDENCE</t>
  </si>
  <si>
    <t>Risk</t>
  </si>
  <si>
    <t>Why it matters</t>
  </si>
  <si>
    <t>Model signal</t>
  </si>
  <si>
    <t>Competitive intensity</t>
  </si>
  <si>
    <t>Birla Opus has installed 1,332 MLPA of capacity, described as roughly 24% of organised-industry capacity, and expanded across 8,000+ towns.</t>
  </si>
  <si>
    <t>Revenue growth and gross margin fall below the bear-case trajectory</t>
  </si>
  <si>
    <t>Demand and downtrading</t>
  </si>
  <si>
    <t>Asian Paints cited muted demand, adverse mix and downtrading in FY25; continued weakness would invalidate the modeled growth recovery.</t>
  </si>
  <si>
    <t>Volumes fail to recover, premium mix weakens or dealer incentives rise</t>
  </si>
  <si>
    <t>Raw materials and pricing</t>
  </si>
  <si>
    <t>Paint is raw-material intensive. Crude-linked input inflation or price reductions can compress gross margin and cash flow.</t>
  </si>
  <si>
    <t>Gross margin fails to hold near 43% and UFCF conversion deteriorates</t>
  </si>
  <si>
    <t>CATALYSTS AND VALUATION</t>
  </si>
  <si>
    <t>Potential catalyst</t>
  </si>
  <si>
    <t>Evidence to watch</t>
  </si>
  <si>
    <t>Valuation implication</t>
  </si>
  <si>
    <t>UFCF / WACC / g</t>
  </si>
  <si>
    <t>Interpretation</t>
  </si>
  <si>
    <t>Decorative-demand recovery</t>
  </si>
  <si>
    <t>Sustained volume growth and improving price/mix</t>
  </si>
  <si>
    <t>Supports base-case revenue growth</t>
  </si>
  <si>
    <t>0.85x / 11.0% / 4.5%</t>
  </si>
  <si>
    <t>Prolonged demand and competitive pressure</t>
  </si>
  <si>
    <t>Margin resilience</t>
  </si>
  <si>
    <t>Stable gross margin and improving EBITDA conversion</t>
  </si>
  <si>
    <t>Protects UFCF and terminal value</t>
  </si>
  <si>
    <t>1.00x / 10.0% / 5.0%</t>
  </si>
  <si>
    <t>Recovery with broadly stable margins</t>
  </si>
  <si>
    <t>Services/B2B scale</t>
  </si>
  <si>
    <t>Higher contribution from waterproofing, projects and services</t>
  </si>
  <si>
    <t>Potential upside not separately valued</t>
  </si>
  <si>
    <t>1.15x / 9.0% / 5.5%</t>
  </si>
  <si>
    <t>Stronger growth, mix and cash conversion</t>
  </si>
  <si>
    <t>Competitive moderation</t>
  </si>
  <si>
    <t>Lower promotional intensity and stable channel economics</t>
  </si>
  <si>
    <t>Reduces bear-case probability</t>
  </si>
  <si>
    <t>Primary DCF</t>
  </si>
  <si>
    <t>Calculated WACC / 5.0%</t>
  </si>
  <si>
    <t>Main model output using 9.96% WACC</t>
  </si>
  <si>
    <t>SOURCES AND CONCLUSION</t>
  </si>
  <si>
    <t>Source</t>
  </si>
  <si>
    <t>URL</t>
  </si>
  <si>
    <t>Portfolio conclusion</t>
  </si>
  <si>
    <t>Asian Paints FY26 Annual Report</t>
  </si>
  <si>
    <t>https://www.asianpaints.com/content/annualreport/annual-report-25-26.html</t>
  </si>
  <si>
    <t>The operating franchise remains high quality, but the model’s valuation depends heavily on a revenue recovery that must be demonstrated against a more competitive industry structure.</t>
  </si>
  <si>
    <t>Asian Paints FY25 Q4 Press Release</t>
  </si>
  <si>
    <t>https://www.asianpaints.com/content/dam/asianpaints/website/secondary-navigation/press-releases/2024-2025/Press_Release_Q4_FY25.pdf</t>
  </si>
  <si>
    <t>The thesis would strengthen if volume growth, price/mix and margins improve simultaneously without a material working-capital build.</t>
  </si>
  <si>
    <t>Asian Paints Investor Centre</t>
  </si>
  <si>
    <t>https://www.asianpaints.com/more/investors.html</t>
  </si>
  <si>
    <t>The thesis would weaken if competition forces structurally lower pricing, dealer economics or margins.</t>
  </si>
  <si>
    <t>Grasim / Birla Opus Q1 FY26 update</t>
  </si>
  <si>
    <t>https://www.grasim.com/media/press-releases/q1fy2026-creating-scaling-growth-engines-for-viksit-bharat</t>
  </si>
  <si>
    <t>Educational research only — not investment advice or a buy/sell 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</si>
</sst>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quot;-&quot;;@"/>
    <numFmt numFmtId="165" formatCode="0.0%"/>
    <numFmt numFmtId="166" formatCode="#,##0.0;[Red]\(#,##0.0\);\-"/>
    <numFmt numFmtId="167" formatCode="#,##0;[Red]\(#,##0\);\-"/>
    <numFmt numFmtId="168" formatCode="0.0%;[Red]\(0.0%\);\-"/>
    <numFmt numFmtId="169" formatCode="0.000\x"/>
    <numFmt numFmtId="170" formatCode="0.00\x"/>
    <numFmt numFmtId="172" formatCode="0.000;[Red]\(0.000\);\-"/>
  </numFmts>
  <fonts count="29">
    <font>
      <sz val="11"/>
      <color theme="1"/>
      <name val="Calibri"/>
    </font>
    <font>
      <b/>
      <sz val="11"/>
      <color rgb="FF000000"/>
      <name val="Segoe UI"/>
    </font>
    <font>
      <sz val="11"/>
      <color rgb="FF000000"/>
      <name val="Segoe UI"/>
    </font>
    <font>
      <b/>
      <sz val="11"/>
      <color theme="1"/>
      <name val="Calibri"/>
    </font>
    <font>
      <b/>
      <sz val="10"/>
      <color rgb="FFFFFFFF"/>
      <name val="Arial"/>
    </font>
    <font>
      <sz val="10"/>
      <color theme="1"/>
      <name val="Arial"/>
    </font>
    <font>
      <b/>
      <sz val="10"/>
      <color theme="1"/>
      <name val="Arial"/>
    </font>
    <font>
      <sz val="10"/>
      <color rgb="FF008000"/>
      <name val="Arial"/>
    </font>
    <font>
      <b/>
      <sz val="10"/>
      <color rgb="FF000000"/>
      <name val="Arial"/>
    </font>
    <font>
      <b/>
      <sz val="10"/>
      <color rgb="FF008000"/>
      <name val="Arial"/>
    </font>
    <font>
      <sz val="10"/>
      <color rgb="FF0000FF"/>
      <name val="Arial"/>
    </font>
    <font>
      <b/>
      <sz val="14"/>
      <color rgb="FFFFFFFF"/>
      <name val="Arial"/>
    </font>
    <font>
      <sz val="10"/>
      <color rgb="FF000000"/>
      <name val="Arial"/>
    </font>
    <font>
      <b/>
      <i/>
      <sz val="10"/>
      <color rgb="FF000000"/>
      <name val="Arial"/>
    </font>
    <font>
      <b/>
      <i/>
      <sz val="14"/>
      <color rgb="FFFFFFFF"/>
      <name val="Arial"/>
    </font>
    <font>
      <b/>
      <sz val="10"/>
      <color rgb="FF17365D"/>
      <name val="Arial"/>
    </font>
    <font>
      <i/>
      <sz val="9"/>
      <color rgb="FF666666"/>
      <name val="Arial"/>
    </font>
    <font>
      <b/>
      <i/>
      <sz val="9"/>
      <color rgb="FF666666"/>
      <name val="Arial"/>
    </font>
    <font>
      <b/>
      <sz val="10"/>
      <color rgb="FF0000FF"/>
      <name val="Arial"/>
    </font>
    <font>
      <b/>
      <sz val="10"/>
      <color rgb="FFFF0000"/>
      <name val="Arial"/>
    </font>
    <font>
      <b/>
      <sz val="16"/>
      <color rgb="FFFFFFFF"/>
      <name val="Arial"/>
    </font>
    <font>
      <i/>
      <sz val="10"/>
      <color rgb="FF17365D"/>
      <name val="Arial"/>
    </font>
    <font>
      <b/>
      <sz val="14"/>
      <color rgb="FF17365D"/>
      <name val="Arial"/>
    </font>
    <font>
      <b/>
      <sz val="9"/>
      <color rgb="FF17365D"/>
      <name val="Arial"/>
    </font>
    <font>
      <b/>
      <sz val="10"/>
      <color rgb="FF9C0006"/>
      <name val="Arial"/>
    </font>
    <font>
      <sz val="8"/>
      <color rgb="FF0000FF"/>
      <name val="Arial"/>
    </font>
    <font>
      <b/>
      <sz val="9"/>
      <color rgb="FF9C0006"/>
      <name val="Arial"/>
    </font>
    <font>
      <sz val="11"/>
      <color theme="1"/>
      <name val="Arial"/>
    </font>
    <font>
      <b/>
      <sz val="10"/>
      <color theme="0"/>
      <name val="Arial"/>
    </font>
  </fonts>
  <fills count="14">
    <fill>
      <patternFill patternType="none"/>
    </fill>
    <fill>
      <patternFill patternType="gray125"/>
    </fill>
    <fill>
      <patternFill patternType="solid">
        <fgColor theme="6" tint="0.39997558519241921"/>
        <bgColor indexed="65"/>
      </patternFill>
    </fill>
    <fill>
      <patternFill patternType="solid">
        <fgColor rgb="FF002060"/>
      </patternFill>
    </fill>
    <fill>
      <patternFill patternType="solid">
        <fgColor rgb="FFFFFBE6"/>
      </patternFill>
    </fill>
    <fill>
      <patternFill patternType="solid">
        <fgColor rgb="FF17365D"/>
      </patternFill>
    </fill>
    <fill>
      <patternFill patternType="solid">
        <fgColor rgb="FFD9EAF7"/>
      </patternFill>
    </fill>
    <fill>
      <patternFill patternType="solid">
        <fgColor rgb="FF1F4E78"/>
      </patternFill>
    </fill>
    <fill>
      <patternFill patternType="solid">
        <fgColor rgb="FFF2F2F2"/>
      </patternFill>
    </fill>
    <fill>
      <patternFill patternType="solid">
        <fgColor rgb="FFE2F0D9"/>
      </patternFill>
    </fill>
    <fill>
      <patternFill patternType="solid">
        <fgColor rgb="FFFFFFFF"/>
      </patternFill>
    </fill>
    <fill>
      <patternFill patternType="solid">
        <fgColor rgb="FFFFF2CC"/>
      </patternFill>
    </fill>
    <fill>
      <patternFill patternType="solid">
        <fgColor rgb="FFFCE4D6"/>
      </patternFill>
    </fill>
    <fill>
      <patternFill patternType="solid">
        <fgColor rgb="FF1F4E78"/>
        <bgColor indexed="64"/>
      </patternFill>
    </fill>
  </fills>
  <borders count="34">
    <border>
      <left/>
      <right/>
      <top/>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indexed="64"/>
      </top>
      <bottom style="thin">
        <color rgb="FFD3D3D3"/>
      </bottom>
      <diagonal/>
    </border>
    <border>
      <left style="thin">
        <color rgb="FFD3D3D3"/>
      </left>
      <right style="thin">
        <color rgb="FFD3D3D3"/>
      </right>
      <top style="thin">
        <color rgb="FFD3D3D3"/>
      </top>
      <bottom/>
      <diagonal/>
    </border>
    <border>
      <left/>
      <right/>
      <top style="thin">
        <color theme="0"/>
      </top>
      <bottom/>
      <diagonal/>
    </border>
    <border>
      <left/>
      <right/>
      <top/>
      <bottom style="thin">
        <color theme="0"/>
      </bottom>
      <diagonal/>
    </border>
    <border>
      <left style="thin">
        <color rgb="FFD3D3D3"/>
      </left>
      <right style="thin">
        <color rgb="FFD3D3D3"/>
      </right>
      <top/>
      <bottom style="thin">
        <color rgb="FFD3D3D3"/>
      </bottom>
      <diagonal/>
    </border>
    <border>
      <left/>
      <right/>
      <top style="thin">
        <color indexed="64"/>
      </top>
      <bottom/>
      <diagonal/>
    </border>
    <border>
      <left style="thin">
        <color rgb="FFD3D3D3"/>
      </left>
      <right style="thin">
        <color rgb="FFD3D3D3"/>
      </right>
      <top style="thin">
        <color indexed="64"/>
      </top>
      <bottom/>
      <diagonal/>
    </border>
    <border>
      <left style="thin">
        <color rgb="FFD3D3D3"/>
      </left>
      <right style="thin">
        <color rgb="FFD3D3D3"/>
      </right>
      <top/>
      <bottom/>
      <diagonal/>
    </border>
    <border>
      <left/>
      <right style="thin">
        <color rgb="FFD3D3D3"/>
      </right>
      <top style="thin">
        <color indexed="64"/>
      </top>
      <bottom/>
      <diagonal/>
    </border>
    <border>
      <left/>
      <right style="thin">
        <color rgb="FFD3D3D3"/>
      </right>
      <top/>
      <bottom/>
      <diagonal/>
    </border>
    <border>
      <left style="thin">
        <color rgb="FFD3D3D3"/>
      </left>
      <right/>
      <top style="thin">
        <color indexed="64"/>
      </top>
      <bottom/>
      <diagonal/>
    </border>
    <border>
      <left style="thin">
        <color rgb="FFD3D3D3"/>
      </left>
      <right style="thin">
        <color rgb="FFD3D3D3"/>
      </right>
      <top style="thin">
        <color rgb="FFD3D3D3"/>
      </top>
      <bottom style="thin">
        <color indexed="64"/>
      </bottom>
      <diagonal/>
    </border>
    <border>
      <left style="thin">
        <color rgb="FFD3D3D3"/>
      </left>
      <right/>
      <top/>
      <bottom/>
      <diagonal/>
    </border>
    <border>
      <left/>
      <right/>
      <top style="thin">
        <color rgb="FF000000"/>
      </top>
      <bottom/>
      <diagonal/>
    </border>
    <border>
      <left style="thin">
        <color rgb="FFD3D3D3"/>
      </left>
      <right/>
      <top style="thin">
        <color rgb="FFD3D3D3"/>
      </top>
      <bottom/>
      <diagonal/>
    </border>
    <border>
      <left style="thin">
        <color rgb="FFD3D3D3"/>
      </left>
      <right style="thin">
        <color rgb="FFD3D3D3"/>
      </right>
      <top style="thin">
        <color rgb="FF000000"/>
      </top>
      <bottom/>
      <diagonal/>
    </border>
    <border>
      <left/>
      <right style="thin">
        <color rgb="FFD3D3D3"/>
      </right>
      <top style="thin">
        <color rgb="FF000000"/>
      </top>
      <bottom/>
      <diagonal/>
    </border>
    <border>
      <left style="thin">
        <color rgb="FFB7C9E2"/>
      </left>
      <right style="thin">
        <color rgb="FFB7C9E2"/>
      </right>
      <top style="thin">
        <color rgb="FFB7C9E2"/>
      </top>
      <bottom style="thin">
        <color rgb="FFB7C9E2"/>
      </bottom>
      <diagonal/>
    </border>
    <border>
      <left/>
      <right/>
      <top/>
      <bottom style="thin">
        <color rgb="FF7F7F7F"/>
      </bottom>
      <diagonal/>
    </border>
    <border>
      <left/>
      <right/>
      <top style="thin">
        <color theme="0"/>
      </top>
      <bottom style="thin">
        <color rgb="FF7F7F7F"/>
      </bottom>
      <diagonal/>
    </border>
    <border>
      <left style="thin">
        <color rgb="FFD3D3D3"/>
      </left>
      <right style="thin">
        <color rgb="FFD3D3D3"/>
      </right>
      <top style="thin">
        <color rgb="FF000000"/>
      </top>
      <bottom style="thin">
        <color rgb="FFD3D3D3"/>
      </bottom>
      <diagonal/>
    </border>
    <border>
      <left style="thin">
        <color rgb="FFD3D3D3"/>
      </left>
      <right style="thin">
        <color rgb="FFD3D3D3"/>
      </right>
      <top style="thin">
        <color rgb="FFD3D3D3"/>
      </top>
      <bottom style="thin">
        <color rgb="FF7F7F7F"/>
      </bottom>
      <diagonal/>
    </border>
    <border>
      <left/>
      <right/>
      <top style="thin">
        <color rgb="FFD3D3D3"/>
      </top>
      <bottom style="thin">
        <color rgb="FF7F7F7F"/>
      </bottom>
      <diagonal/>
    </border>
    <border>
      <left/>
      <right style="thin">
        <color rgb="FFD3D3D3"/>
      </right>
      <top style="thin">
        <color rgb="FFD3D3D3"/>
      </top>
      <bottom style="thin">
        <color rgb="FF7F7F7F"/>
      </bottom>
      <diagonal/>
    </border>
    <border>
      <left style="thin">
        <color rgb="FFB7C9E2"/>
      </left>
      <right/>
      <top style="thin">
        <color rgb="FFB7C9E2"/>
      </top>
      <bottom/>
      <diagonal/>
    </border>
    <border>
      <left/>
      <right/>
      <top style="thin">
        <color rgb="FFB7C9E2"/>
      </top>
      <bottom/>
      <diagonal/>
    </border>
    <border>
      <left/>
      <right style="thin">
        <color rgb="FFB7C9E2"/>
      </right>
      <top style="thin">
        <color rgb="FFB7C9E2"/>
      </top>
      <bottom/>
      <diagonal/>
    </border>
    <border>
      <left style="thin">
        <color rgb="FFB7C9E2"/>
      </left>
      <right/>
      <top/>
      <bottom/>
      <diagonal/>
    </border>
    <border>
      <left/>
      <right style="thin">
        <color rgb="FFB7C9E2"/>
      </right>
      <top/>
      <bottom/>
      <diagonal/>
    </border>
    <border>
      <left style="thin">
        <color rgb="FFB7C9E2"/>
      </left>
      <right/>
      <top/>
      <bottom style="thin">
        <color rgb="FFB7C9E2"/>
      </bottom>
      <diagonal/>
    </border>
    <border>
      <left/>
      <right/>
      <top/>
      <bottom style="thin">
        <color rgb="FFB7C9E2"/>
      </bottom>
      <diagonal/>
    </border>
    <border>
      <left/>
      <right style="thin">
        <color rgb="FFB7C9E2"/>
      </right>
      <top/>
      <bottom style="thin">
        <color rgb="FFB7C9E2"/>
      </bottom>
      <diagonal/>
    </border>
  </borders>
  <cellStyleXfs count="1">
    <xf numFmtId="0" fontId="0" fillId="0" borderId="0"/>
  </cellStyleXfs>
  <cellXfs count="244">
    <xf numFmtId="0" fontId="0" fillId="0" borderId="0" xfId="0"/>
    <xf numFmtId="164" fontId="2" fillId="0" borderId="3" xfId="0" applyNumberFormat="1" applyFont="1" applyBorder="1"/>
    <xf numFmtId="164" fontId="1" fillId="0" borderId="8" xfId="0" applyNumberFormat="1" applyFont="1" applyBorder="1"/>
    <xf numFmtId="0" fontId="2" fillId="0" borderId="3" xfId="0" applyFont="1" applyBorder="1" applyAlignment="1">
      <alignment horizontal="left"/>
    </xf>
    <xf numFmtId="0" fontId="3" fillId="0" borderId="10" xfId="0" applyFont="1" applyBorder="1"/>
    <xf numFmtId="164" fontId="1" fillId="0" borderId="14" xfId="0" applyNumberFormat="1" applyFont="1" applyBorder="1"/>
    <xf numFmtId="0" fontId="3" fillId="0" borderId="0" xfId="0" applyFont="1" applyAlignment="1">
      <alignment horizontal="center" vertical="center" wrapText="1"/>
    </xf>
    <xf numFmtId="3" fontId="0" fillId="0" borderId="0" xfId="0" applyNumberFormat="1" applyAlignment="1">
      <alignment vertical="center" wrapText="1"/>
    </xf>
    <xf numFmtId="3" fontId="3" fillId="0" borderId="0" xfId="0" applyNumberFormat="1" applyFont="1" applyAlignment="1">
      <alignment vertical="center" wrapText="1"/>
    </xf>
    <xf numFmtId="0" fontId="0" fillId="0" borderId="0" xfId="0" applyAlignment="1">
      <alignment vertical="center" wrapText="1"/>
    </xf>
    <xf numFmtId="164" fontId="0" fillId="0" borderId="0" xfId="0" applyNumberFormat="1"/>
    <xf numFmtId="0" fontId="5" fillId="0" borderId="0" xfId="0" applyNumberFormat="1" applyFont="1" applyFill="1" applyBorder="1" applyAlignment="1">
      <alignment vertical="center"/>
    </xf>
    <xf numFmtId="167" fontId="5" fillId="0" borderId="0" xfId="0" applyNumberFormat="1" applyFont="1" applyFill="1" applyBorder="1" applyAlignment="1">
      <alignment vertical="center"/>
    </xf>
    <xf numFmtId="167" fontId="7" fillId="0" borderId="0" xfId="0" applyNumberFormat="1" applyFont="1" applyFill="1" applyBorder="1" applyAlignment="1">
      <alignment vertical="center"/>
    </xf>
    <xf numFmtId="0" fontId="8" fillId="0" borderId="15" xfId="0" applyNumberFormat="1" applyFont="1" applyFill="1" applyBorder="1" applyAlignment="1">
      <alignment vertical="center"/>
    </xf>
    <xf numFmtId="167" fontId="9" fillId="0" borderId="15" xfId="0" applyNumberFormat="1" applyFont="1" applyFill="1" applyBorder="1" applyAlignment="1">
      <alignment vertical="center"/>
    </xf>
    <xf numFmtId="168" fontId="10" fillId="0" borderId="0" xfId="0" applyNumberFormat="1" applyFont="1" applyFill="1" applyBorder="1" applyAlignment="1">
      <alignment vertical="center"/>
    </xf>
    <xf numFmtId="0" fontId="10" fillId="0" borderId="0" xfId="0" applyNumberFormat="1" applyFont="1" applyFill="1" applyBorder="1" applyAlignment="1">
      <alignment vertical="center"/>
    </xf>
    <xf numFmtId="168" fontId="5" fillId="0" borderId="0" xfId="0" applyNumberFormat="1" applyFont="1" applyFill="1" applyBorder="1" applyAlignment="1">
      <alignment vertical="center"/>
    </xf>
    <xf numFmtId="167" fontId="8" fillId="0" borderId="15" xfId="0" applyNumberFormat="1" applyFont="1" applyFill="1" applyBorder="1" applyAlignment="1">
      <alignment vertical="center"/>
    </xf>
    <xf numFmtId="169" fontId="5" fillId="0" borderId="0" xfId="0" applyNumberFormat="1" applyFont="1" applyFill="1" applyBorder="1" applyAlignment="1">
      <alignment vertical="center"/>
    </xf>
    <xf numFmtId="0" fontId="5" fillId="0" borderId="19" xfId="0" applyNumberFormat="1" applyFont="1" applyFill="1" applyBorder="1" applyAlignment="1">
      <alignment vertical="center"/>
    </xf>
    <xf numFmtId="168" fontId="5" fillId="0" borderId="19" xfId="0" applyNumberFormat="1" applyFont="1" applyFill="1" applyBorder="1" applyAlignment="1">
      <alignment vertical="center"/>
    </xf>
    <xf numFmtId="167" fontId="5" fillId="0" borderId="19" xfId="0" applyNumberFormat="1" applyFont="1" applyFill="1" applyBorder="1" applyAlignment="1">
      <alignment vertical="center"/>
    </xf>
    <xf numFmtId="170" fontId="10" fillId="0" borderId="0" xfId="0" applyNumberFormat="1" applyFont="1" applyFill="1" applyBorder="1" applyAlignment="1">
      <alignment vertical="center"/>
    </xf>
    <xf numFmtId="0" fontId="6" fillId="0" borderId="0" xfId="0" applyNumberFormat="1" applyFont="1" applyFill="1" applyBorder="1" applyAlignment="1">
      <alignment vertical="center"/>
    </xf>
    <xf numFmtId="0" fontId="8" fillId="0" borderId="0" xfId="0" applyNumberFormat="1" applyFont="1" applyFill="1" applyBorder="1" applyAlignment="1">
      <alignment horizontal="left" vertical="center" wrapText="1"/>
    </xf>
    <xf numFmtId="0" fontId="12" fillId="0" borderId="0" xfId="0" applyNumberFormat="1" applyFont="1" applyFill="1" applyBorder="1" applyAlignment="1">
      <alignment horizontal="left" vertical="center" wrapText="1"/>
    </xf>
    <xf numFmtId="0" fontId="8" fillId="0" borderId="7" xfId="0" applyNumberFormat="1" applyFont="1" applyFill="1" applyBorder="1" applyAlignment="1">
      <alignment horizontal="left" vertical="center" wrapText="1"/>
    </xf>
    <xf numFmtId="0" fontId="8" fillId="0" borderId="10" xfId="0" applyNumberFormat="1" applyFont="1" applyFill="1" applyBorder="1" applyAlignment="1">
      <alignment horizontal="left" vertical="center" wrapText="1"/>
    </xf>
    <xf numFmtId="0" fontId="12" fillId="0" borderId="0" xfId="0" applyNumberFormat="1" applyFont="1" applyFill="1" applyBorder="1" applyAlignment="1">
      <alignment vertical="center"/>
    </xf>
    <xf numFmtId="0" fontId="8" fillId="0" borderId="0" xfId="0" applyNumberFormat="1" applyFont="1" applyFill="1" applyBorder="1" applyAlignment="1">
      <alignment vertical="center"/>
    </xf>
    <xf numFmtId="0" fontId="12" fillId="0" borderId="1" xfId="0" applyNumberFormat="1" applyFont="1" applyFill="1" applyBorder="1" applyAlignment="1">
      <alignment horizontal="left" vertical="center"/>
    </xf>
    <xf numFmtId="0" fontId="12" fillId="0" borderId="3" xfId="0" applyNumberFormat="1" applyFont="1" applyFill="1" applyBorder="1" applyAlignment="1">
      <alignment horizontal="left" vertical="center"/>
    </xf>
    <xf numFmtId="0" fontId="12" fillId="0" borderId="11" xfId="0" applyNumberFormat="1" applyFont="1" applyFill="1" applyBorder="1" applyAlignment="1">
      <alignment horizontal="left" vertical="center"/>
    </xf>
    <xf numFmtId="0" fontId="8" fillId="0" borderId="3" xfId="0" applyNumberFormat="1" applyFont="1" applyFill="1" applyBorder="1" applyAlignment="1">
      <alignment horizontal="left" vertical="center"/>
    </xf>
    <xf numFmtId="0" fontId="8" fillId="0" borderId="17" xfId="0" applyNumberFormat="1" applyFont="1" applyFill="1" applyBorder="1" applyAlignment="1">
      <alignment horizontal="left" vertical="center"/>
    </xf>
    <xf numFmtId="166" fontId="12" fillId="0" borderId="3" xfId="0" applyNumberFormat="1" applyFont="1" applyFill="1" applyBorder="1" applyAlignment="1">
      <alignment horizontal="right" vertical="center"/>
    </xf>
    <xf numFmtId="166" fontId="8" fillId="0" borderId="17" xfId="0" applyNumberFormat="1" applyFont="1" applyFill="1" applyBorder="1" applyAlignment="1">
      <alignment horizontal="right" vertical="center"/>
    </xf>
    <xf numFmtId="166" fontId="12" fillId="0" borderId="0" xfId="0" applyNumberFormat="1" applyFont="1" applyFill="1" applyBorder="1" applyAlignment="1">
      <alignment horizontal="right" vertical="center"/>
    </xf>
    <xf numFmtId="166" fontId="8" fillId="0" borderId="22" xfId="0" applyNumberFormat="1" applyFont="1" applyFill="1" applyBorder="1" applyAlignment="1">
      <alignment horizontal="right" vertical="center"/>
    </xf>
    <xf numFmtId="166" fontId="8" fillId="0" borderId="6" xfId="0" applyNumberFormat="1" applyFont="1" applyFill="1" applyBorder="1" applyAlignment="1">
      <alignment horizontal="right" vertical="center"/>
    </xf>
    <xf numFmtId="166" fontId="12" fillId="0" borderId="0" xfId="0" applyNumberFormat="1" applyFont="1" applyFill="1" applyBorder="1" applyAlignment="1">
      <alignment horizontal="right" vertical="center" wrapText="1"/>
    </xf>
    <xf numFmtId="166" fontId="12" fillId="0" borderId="9" xfId="0" applyNumberFormat="1" applyFont="1" applyFill="1" applyBorder="1" applyAlignment="1">
      <alignment horizontal="right" vertical="center"/>
    </xf>
    <xf numFmtId="166" fontId="8" fillId="0" borderId="8" xfId="0" applyNumberFormat="1" applyFont="1" applyFill="1" applyBorder="1" applyAlignment="1">
      <alignment horizontal="right" vertical="center"/>
    </xf>
    <xf numFmtId="166" fontId="12" fillId="2" borderId="0" xfId="0" applyNumberFormat="1" applyFont="1" applyFill="1" applyBorder="1" applyAlignment="1">
      <alignment horizontal="right" vertical="center"/>
    </xf>
    <xf numFmtId="166" fontId="8" fillId="0" borderId="7" xfId="0" applyNumberFormat="1" applyFont="1" applyFill="1" applyBorder="1" applyAlignment="1">
      <alignment horizontal="right" vertical="center"/>
    </xf>
    <xf numFmtId="166" fontId="8" fillId="0" borderId="2" xfId="0" applyNumberFormat="1" applyFont="1" applyFill="1" applyBorder="1" applyAlignment="1">
      <alignment horizontal="right" vertical="center"/>
    </xf>
    <xf numFmtId="166" fontId="8" fillId="0" borderId="15" xfId="0" applyNumberFormat="1" applyFont="1" applyFill="1" applyBorder="1" applyAlignment="1">
      <alignment horizontal="right" vertical="center"/>
    </xf>
    <xf numFmtId="166" fontId="8" fillId="0" borderId="18" xfId="0" applyNumberFormat="1" applyFont="1" applyFill="1" applyBorder="1" applyAlignment="1">
      <alignment horizontal="right" vertical="center"/>
    </xf>
    <xf numFmtId="0" fontId="12" fillId="0" borderId="0" xfId="0" applyNumberFormat="1" applyFont="1" applyFill="1" applyBorder="1" applyAlignment="1">
      <alignment horizontal="left" vertical="center"/>
    </xf>
    <xf numFmtId="0" fontId="8" fillId="0" borderId="0" xfId="0" applyNumberFormat="1" applyFont="1" applyFill="1" applyBorder="1" applyAlignment="1">
      <alignment horizontal="left" vertical="center"/>
    </xf>
    <xf numFmtId="0" fontId="8" fillId="0" borderId="22" xfId="0" applyNumberFormat="1" applyFont="1" applyFill="1" applyBorder="1" applyAlignment="1">
      <alignment horizontal="left" vertical="center"/>
    </xf>
    <xf numFmtId="0" fontId="8" fillId="0" borderId="6" xfId="0" applyNumberFormat="1" applyFont="1" applyFill="1" applyBorder="1" applyAlignment="1">
      <alignment horizontal="left" vertical="center"/>
    </xf>
    <xf numFmtId="0" fontId="8" fillId="0" borderId="15" xfId="0" applyNumberFormat="1" applyFont="1" applyFill="1" applyBorder="1" applyAlignment="1">
      <alignment horizontal="left" vertical="center"/>
    </xf>
    <xf numFmtId="0" fontId="8" fillId="0" borderId="7" xfId="0" applyNumberFormat="1" applyFont="1" applyFill="1" applyBorder="1" applyAlignment="1">
      <alignment horizontal="left" vertical="center"/>
    </xf>
    <xf numFmtId="0" fontId="13" fillId="2" borderId="0" xfId="0" applyNumberFormat="1" applyFont="1" applyFill="1" applyBorder="1" applyAlignment="1">
      <alignment horizontal="left" vertical="center"/>
    </xf>
    <xf numFmtId="0" fontId="8" fillId="0" borderId="10" xfId="0" applyNumberFormat="1" applyFont="1" applyFill="1" applyBorder="1" applyAlignment="1">
      <alignment horizontal="left" vertical="center"/>
    </xf>
    <xf numFmtId="0" fontId="8" fillId="0" borderId="18" xfId="0" applyNumberFormat="1" applyFont="1" applyFill="1" applyBorder="1" applyAlignment="1">
      <alignment horizontal="left" vertical="center"/>
    </xf>
    <xf numFmtId="0" fontId="12" fillId="0" borderId="0" xfId="0" applyNumberFormat="1" applyFont="1" applyFill="1" applyBorder="1" applyAlignment="1">
      <alignment vertical="center" wrapText="1"/>
    </xf>
    <xf numFmtId="0" fontId="18" fillId="0" borderId="0" xfId="0" applyNumberFormat="1" applyFont="1" applyFill="1" applyBorder="1" applyAlignment="1">
      <alignment vertical="center"/>
    </xf>
    <xf numFmtId="0" fontId="9" fillId="0" borderId="0" xfId="0" applyNumberFormat="1" applyFont="1" applyFill="1" applyBorder="1" applyAlignment="1">
      <alignment vertical="center"/>
    </xf>
    <xf numFmtId="0" fontId="19" fillId="0" borderId="0" xfId="0" applyNumberFormat="1" applyFont="1" applyFill="1" applyBorder="1" applyAlignment="1">
      <alignment vertical="center"/>
    </xf>
    <xf numFmtId="168" fontId="10" fillId="4" borderId="0" xfId="0" applyNumberFormat="1" applyFont="1" applyFill="1" applyBorder="1" applyAlignment="1">
      <alignment horizontal="right" vertical="center"/>
    </xf>
    <xf numFmtId="168" fontId="12" fillId="0" borderId="0" xfId="0" applyNumberFormat="1" applyFont="1" applyFill="1" applyBorder="1" applyAlignment="1">
      <alignment horizontal="right" vertical="center"/>
    </xf>
    <xf numFmtId="0" fontId="10" fillId="4" borderId="0" xfId="0" applyNumberFormat="1" applyFont="1" applyFill="1" applyBorder="1" applyAlignment="1">
      <alignment horizontal="right" vertical="center"/>
    </xf>
    <xf numFmtId="0" fontId="12" fillId="0" borderId="0" xfId="0" applyNumberFormat="1" applyFont="1" applyFill="1" applyBorder="1" applyAlignment="1">
      <alignment horizontal="right" vertical="center"/>
    </xf>
    <xf numFmtId="1" fontId="10" fillId="4" borderId="0" xfId="0" applyNumberFormat="1" applyFont="1" applyFill="1" applyBorder="1" applyAlignment="1">
      <alignment horizontal="right" vertical="center"/>
    </xf>
    <xf numFmtId="167" fontId="12" fillId="0" borderId="3" xfId="0" applyNumberFormat="1" applyFont="1" applyFill="1" applyBorder="1" applyAlignment="1">
      <alignment horizontal="right" vertical="center"/>
    </xf>
    <xf numFmtId="168" fontId="7" fillId="0" borderId="0" xfId="0" applyNumberFormat="1" applyFont="1" applyFill="1" applyBorder="1" applyAlignment="1">
      <alignment horizontal="right" vertical="center"/>
    </xf>
    <xf numFmtId="170" fontId="7" fillId="0" borderId="0" xfId="0" applyNumberFormat="1" applyFont="1" applyFill="1" applyBorder="1" applyAlignment="1">
      <alignment horizontal="right" vertical="center"/>
    </xf>
    <xf numFmtId="0" fontId="12" fillId="9" borderId="27" xfId="0" applyNumberFormat="1" applyFont="1" applyFill="1" applyBorder="1" applyAlignment="1">
      <alignment vertical="top" wrapText="1"/>
    </xf>
    <xf numFmtId="0" fontId="12" fillId="9" borderId="28" xfId="0" applyNumberFormat="1" applyFont="1" applyFill="1" applyBorder="1" applyAlignment="1">
      <alignment vertical="top" wrapText="1"/>
    </xf>
    <xf numFmtId="0" fontId="12" fillId="9" borderId="0" xfId="0" applyNumberFormat="1" applyFont="1" applyFill="1" applyAlignment="1">
      <alignment vertical="top" wrapText="1"/>
    </xf>
    <xf numFmtId="0" fontId="12" fillId="9" borderId="30" xfId="0" applyNumberFormat="1" applyFont="1" applyFill="1" applyBorder="1" applyAlignment="1">
      <alignment vertical="top" wrapText="1"/>
    </xf>
    <xf numFmtId="0" fontId="12" fillId="9" borderId="32" xfId="0" applyNumberFormat="1" applyFont="1" applyFill="1" applyBorder="1" applyAlignment="1">
      <alignment vertical="top" wrapText="1"/>
    </xf>
    <xf numFmtId="0" fontId="12" fillId="9" borderId="33" xfId="0" applyNumberFormat="1" applyFont="1" applyFill="1" applyBorder="1" applyAlignment="1">
      <alignment vertical="top" wrapText="1"/>
    </xf>
    <xf numFmtId="0" fontId="22" fillId="9" borderId="26" xfId="0" applyNumberFormat="1" applyFont="1" applyFill="1" applyBorder="1" applyAlignment="1">
      <alignment vertical="top" wrapText="1"/>
    </xf>
    <xf numFmtId="0" fontId="22" fillId="9" borderId="29" xfId="0" applyNumberFormat="1" applyFont="1" applyFill="1" applyBorder="1" applyAlignment="1">
      <alignment vertical="top" wrapText="1"/>
    </xf>
    <xf numFmtId="0" fontId="22" fillId="9" borderId="31" xfId="0" applyNumberFormat="1" applyFont="1" applyFill="1" applyBorder="1" applyAlignment="1">
      <alignment vertical="top" wrapText="1"/>
    </xf>
    <xf numFmtId="0" fontId="15" fillId="9" borderId="27" xfId="0" applyNumberFormat="1" applyFont="1" applyFill="1" applyBorder="1" applyAlignment="1">
      <alignment vertical="top" wrapText="1"/>
    </xf>
    <xf numFmtId="0" fontId="15" fillId="9" borderId="0" xfId="0" applyNumberFormat="1" applyFont="1" applyFill="1" applyAlignment="1">
      <alignment vertical="top" wrapText="1"/>
    </xf>
    <xf numFmtId="0" fontId="15" fillId="9" borderId="32" xfId="0" applyNumberFormat="1" applyFont="1" applyFill="1" applyBorder="1" applyAlignment="1">
      <alignment vertical="top" wrapText="1"/>
    </xf>
    <xf numFmtId="0" fontId="12" fillId="10" borderId="26" xfId="0" applyNumberFormat="1" applyFont="1" applyFill="1" applyBorder="1" applyAlignment="1">
      <alignment vertical="top" wrapText="1"/>
    </xf>
    <xf numFmtId="0" fontId="12" fillId="10" borderId="27" xfId="0" applyNumberFormat="1" applyFont="1" applyFill="1" applyBorder="1" applyAlignment="1">
      <alignment vertical="top" wrapText="1"/>
    </xf>
    <xf numFmtId="0" fontId="12" fillId="10" borderId="28" xfId="0" applyNumberFormat="1" applyFont="1" applyFill="1" applyBorder="1" applyAlignment="1">
      <alignment vertical="top" wrapText="1"/>
    </xf>
    <xf numFmtId="0" fontId="12" fillId="10" borderId="29" xfId="0" applyNumberFormat="1" applyFont="1" applyFill="1" applyBorder="1" applyAlignment="1">
      <alignment vertical="top" wrapText="1"/>
    </xf>
    <xf numFmtId="0" fontId="12" fillId="10" borderId="31" xfId="0" applyNumberFormat="1" applyFont="1" applyFill="1" applyBorder="1" applyAlignment="1">
      <alignment vertical="top" wrapText="1"/>
    </xf>
    <xf numFmtId="0" fontId="8" fillId="10" borderId="26" xfId="0" applyNumberFormat="1" applyFont="1" applyFill="1" applyBorder="1" applyAlignment="1">
      <alignment vertical="top" wrapText="1"/>
    </xf>
    <xf numFmtId="0" fontId="8" fillId="10" borderId="29" xfId="0" applyNumberFormat="1" applyFont="1" applyFill="1" applyBorder="1" applyAlignment="1">
      <alignment vertical="top" wrapText="1"/>
    </xf>
    <xf numFmtId="0" fontId="8" fillId="10" borderId="31" xfId="0" applyNumberFormat="1" applyFont="1" applyFill="1" applyBorder="1" applyAlignment="1">
      <alignment vertical="top" wrapText="1"/>
    </xf>
    <xf numFmtId="0" fontId="24" fillId="12" borderId="26" xfId="0" applyNumberFormat="1" applyFont="1" applyFill="1" applyBorder="1" applyAlignment="1">
      <alignment vertical="top" wrapText="1"/>
    </xf>
    <xf numFmtId="0" fontId="24" fillId="12" borderId="29" xfId="0" applyNumberFormat="1" applyFont="1" applyFill="1" applyBorder="1" applyAlignment="1">
      <alignment vertical="top" wrapText="1"/>
    </xf>
    <xf numFmtId="0" fontId="24" fillId="12" borderId="31" xfId="0" applyNumberFormat="1" applyFont="1" applyFill="1" applyBorder="1" applyAlignment="1">
      <alignment vertical="top" wrapText="1"/>
    </xf>
    <xf numFmtId="167" fontId="9" fillId="10" borderId="27" xfId="0" applyNumberFormat="1" applyFont="1" applyFill="1" applyBorder="1" applyAlignment="1">
      <alignment vertical="top" wrapText="1"/>
    </xf>
    <xf numFmtId="167" fontId="9" fillId="10" borderId="0" xfId="0" applyNumberFormat="1" applyFont="1" applyFill="1" applyAlignment="1">
      <alignment vertical="top" wrapText="1"/>
    </xf>
    <xf numFmtId="167" fontId="9" fillId="10" borderId="32" xfId="0" applyNumberFormat="1" applyFont="1" applyFill="1" applyBorder="1" applyAlignment="1">
      <alignment vertical="top" wrapText="1"/>
    </xf>
    <xf numFmtId="0" fontId="25" fillId="8" borderId="27" xfId="0" applyNumberFormat="1" applyFont="1" applyFill="1" applyBorder="1" applyAlignment="1">
      <alignment vertical="top" wrapText="1"/>
    </xf>
    <xf numFmtId="0" fontId="25" fillId="8" borderId="0" xfId="0" applyNumberFormat="1" applyFont="1" applyFill="1" applyAlignment="1">
      <alignment vertical="top" wrapText="1"/>
    </xf>
    <xf numFmtId="0" fontId="25" fillId="8" borderId="32" xfId="0" applyNumberFormat="1" applyFont="1" applyFill="1" applyBorder="1" applyAlignment="1">
      <alignment vertical="top" wrapText="1"/>
    </xf>
    <xf numFmtId="0" fontId="27" fillId="0" borderId="0" xfId="0" applyNumberFormat="1" applyFont="1" applyFill="1" applyBorder="1"/>
    <xf numFmtId="0" fontId="23" fillId="6" borderId="0" xfId="0" applyNumberFormat="1" applyFont="1" applyFill="1" applyBorder="1"/>
    <xf numFmtId="0" fontId="4" fillId="7" borderId="0" xfId="0" applyNumberFormat="1" applyFont="1" applyFill="1" applyBorder="1" applyAlignment="1">
      <alignment horizontal="right" vertical="center"/>
    </xf>
    <xf numFmtId="0" fontId="16" fillId="8" borderId="0" xfId="0" applyNumberFormat="1" applyFont="1" applyFill="1" applyBorder="1" applyAlignment="1">
      <alignment vertical="center" wrapText="1"/>
    </xf>
    <xf numFmtId="168" fontId="4" fillId="7" borderId="0" xfId="0" applyNumberFormat="1" applyFont="1" applyFill="1" applyBorder="1" applyAlignment="1">
      <alignment horizontal="right" vertical="center"/>
    </xf>
    <xf numFmtId="0" fontId="17" fillId="8" borderId="0" xfId="0" applyNumberFormat="1" applyFont="1" applyFill="1" applyBorder="1" applyAlignment="1">
      <alignment vertical="center" wrapText="1"/>
    </xf>
    <xf numFmtId="165" fontId="16" fillId="8" borderId="0" xfId="0" applyNumberFormat="1" applyFont="1" applyFill="1" applyBorder="1" applyAlignment="1">
      <alignment vertical="center" wrapText="1"/>
    </xf>
    <xf numFmtId="0" fontId="15" fillId="8" borderId="20" xfId="0" applyNumberFormat="1" applyFont="1" applyFill="1" applyBorder="1" applyAlignment="1">
      <alignment horizontal="left" vertical="center" wrapText="1"/>
    </xf>
    <xf numFmtId="0" fontId="15" fillId="8" borderId="21" xfId="0" applyNumberFormat="1" applyFont="1" applyFill="1" applyBorder="1" applyAlignment="1">
      <alignment horizontal="right" vertical="center"/>
    </xf>
    <xf numFmtId="0" fontId="4" fillId="7" borderId="0" xfId="0" applyNumberFormat="1" applyFont="1" applyFill="1" applyBorder="1" applyAlignment="1">
      <alignment horizontal="left" vertical="center"/>
    </xf>
    <xf numFmtId="0" fontId="15" fillId="8" borderId="20" xfId="0" applyNumberFormat="1" applyFont="1" applyFill="1" applyBorder="1" applyAlignment="1">
      <alignment horizontal="left" vertical="center"/>
    </xf>
    <xf numFmtId="166" fontId="15" fillId="8" borderId="20" xfId="0" applyNumberFormat="1" applyFont="1" applyFill="1" applyBorder="1" applyAlignment="1">
      <alignment horizontal="right" vertical="center"/>
    </xf>
    <xf numFmtId="0" fontId="8" fillId="9" borderId="15" xfId="0" applyNumberFormat="1" applyFont="1" applyFill="1" applyBorder="1" applyAlignment="1">
      <alignment horizontal="left" vertical="center"/>
    </xf>
    <xf numFmtId="166" fontId="8" fillId="9" borderId="15" xfId="0" applyNumberFormat="1" applyFont="1" applyFill="1" applyBorder="1" applyAlignment="1">
      <alignment horizontal="right" vertical="center"/>
    </xf>
    <xf numFmtId="166" fontId="15" fillId="8" borderId="21" xfId="0" applyNumberFormat="1" applyFont="1" applyFill="1" applyBorder="1" applyAlignment="1">
      <alignment horizontal="right" vertical="center"/>
    </xf>
    <xf numFmtId="0" fontId="15" fillId="6" borderId="21" xfId="0" applyNumberFormat="1" applyFont="1" applyFill="1" applyBorder="1" applyAlignment="1">
      <alignment horizontal="right" vertical="center"/>
    </xf>
    <xf numFmtId="0" fontId="12" fillId="10" borderId="0" xfId="0" applyNumberFormat="1" applyFont="1" applyFill="1" applyBorder="1" applyAlignment="1">
      <alignment horizontal="left" vertical="center"/>
    </xf>
    <xf numFmtId="166" fontId="12" fillId="10" borderId="0" xfId="0" applyNumberFormat="1" applyFont="1" applyFill="1" applyBorder="1" applyAlignment="1">
      <alignment horizontal="right" vertical="center"/>
    </xf>
    <xf numFmtId="166" fontId="7" fillId="10" borderId="0" xfId="0" applyNumberFormat="1" applyFont="1" applyFill="1" applyBorder="1" applyAlignment="1">
      <alignment horizontal="right" vertical="center"/>
    </xf>
    <xf numFmtId="0" fontId="8" fillId="10" borderId="0" xfId="0" applyNumberFormat="1" applyFont="1" applyFill="1" applyBorder="1" applyAlignment="1">
      <alignment horizontal="left" vertical="center"/>
    </xf>
    <xf numFmtId="166" fontId="12" fillId="10" borderId="3" xfId="0" applyNumberFormat="1" applyFont="1" applyFill="1" applyBorder="1" applyAlignment="1">
      <alignment horizontal="right" vertical="center"/>
    </xf>
    <xf numFmtId="166" fontId="7" fillId="10" borderId="3" xfId="0" applyNumberFormat="1" applyFont="1" applyFill="1" applyBorder="1" applyAlignment="1">
      <alignment horizontal="right" vertical="center"/>
    </xf>
    <xf numFmtId="0" fontId="12" fillId="10" borderId="1" xfId="0" applyNumberFormat="1" applyFont="1" applyFill="1" applyBorder="1" applyAlignment="1">
      <alignment horizontal="left" vertical="center"/>
    </xf>
    <xf numFmtId="166" fontId="12" fillId="10" borderId="13" xfId="0" applyNumberFormat="1" applyFont="1" applyFill="1" applyBorder="1" applyAlignment="1">
      <alignment horizontal="right" vertical="center"/>
    </xf>
    <xf numFmtId="166" fontId="7" fillId="10" borderId="13" xfId="0" applyNumberFormat="1" applyFont="1" applyFill="1" applyBorder="1" applyAlignment="1">
      <alignment horizontal="right" vertical="center"/>
    </xf>
    <xf numFmtId="0" fontId="8" fillId="10" borderId="22" xfId="0" applyNumberFormat="1" applyFont="1" applyFill="1" applyBorder="1" applyAlignment="1">
      <alignment horizontal="left" vertical="center"/>
    </xf>
    <xf numFmtId="166" fontId="8" fillId="10" borderId="22" xfId="0" applyNumberFormat="1" applyFont="1" applyFill="1" applyBorder="1" applyAlignment="1">
      <alignment horizontal="right" vertical="center"/>
    </xf>
    <xf numFmtId="166" fontId="8" fillId="10" borderId="0" xfId="0" applyNumberFormat="1" applyFont="1" applyFill="1" applyBorder="1" applyAlignment="1">
      <alignment horizontal="right" vertical="center"/>
    </xf>
    <xf numFmtId="0" fontId="8" fillId="10" borderId="2" xfId="0" applyNumberFormat="1" applyFont="1" applyFill="1" applyBorder="1" applyAlignment="1">
      <alignment horizontal="left" vertical="center"/>
    </xf>
    <xf numFmtId="166" fontId="8" fillId="10" borderId="2" xfId="0" applyNumberFormat="1" applyFont="1" applyFill="1" applyBorder="1" applyAlignment="1">
      <alignment horizontal="right" vertical="center"/>
    </xf>
    <xf numFmtId="166" fontId="9" fillId="10" borderId="2" xfId="0" applyNumberFormat="1" applyFont="1" applyFill="1" applyBorder="1" applyAlignment="1">
      <alignment horizontal="right" vertical="center"/>
    </xf>
    <xf numFmtId="0" fontId="8" fillId="10" borderId="1" xfId="0" applyNumberFormat="1" applyFont="1" applyFill="1" applyBorder="1" applyAlignment="1">
      <alignment horizontal="left" vertical="center"/>
    </xf>
    <xf numFmtId="166" fontId="8" fillId="10" borderId="3" xfId="0" applyNumberFormat="1" applyFont="1" applyFill="1" applyBorder="1" applyAlignment="1">
      <alignment horizontal="right" vertical="center"/>
    </xf>
    <xf numFmtId="166" fontId="9" fillId="10" borderId="3" xfId="0" applyNumberFormat="1" applyFont="1" applyFill="1" applyBorder="1" applyAlignment="1">
      <alignment horizontal="right" vertical="center"/>
    </xf>
    <xf numFmtId="166" fontId="9" fillId="10" borderId="0" xfId="0" applyNumberFormat="1" applyFont="1" applyFill="1" applyBorder="1" applyAlignment="1">
      <alignment horizontal="right" vertical="center"/>
    </xf>
    <xf numFmtId="0" fontId="12" fillId="10" borderId="6" xfId="0" applyNumberFormat="1" applyFont="1" applyFill="1" applyBorder="1" applyAlignment="1">
      <alignment horizontal="left" vertical="center"/>
    </xf>
    <xf numFmtId="166" fontId="8" fillId="10" borderId="12" xfId="0" applyNumberFormat="1" applyFont="1" applyFill="1" applyBorder="1" applyAlignment="1">
      <alignment horizontal="right" vertical="center"/>
    </xf>
    <xf numFmtId="166" fontId="9" fillId="10" borderId="12" xfId="0" applyNumberFormat="1" applyFont="1" applyFill="1" applyBorder="1" applyAlignment="1">
      <alignment horizontal="right" vertical="center"/>
    </xf>
    <xf numFmtId="0" fontId="8" fillId="10" borderId="15" xfId="0" applyNumberFormat="1" applyFont="1" applyFill="1" applyBorder="1" applyAlignment="1">
      <alignment horizontal="left" vertical="center"/>
    </xf>
    <xf numFmtId="166" fontId="8" fillId="10" borderId="15" xfId="0" applyNumberFormat="1" applyFont="1" applyFill="1" applyBorder="1" applyAlignment="1">
      <alignment horizontal="right" vertical="center"/>
    </xf>
    <xf numFmtId="166" fontId="9" fillId="6" borderId="20" xfId="0" applyNumberFormat="1" applyFont="1" applyFill="1" applyBorder="1" applyAlignment="1">
      <alignment horizontal="right" vertical="center"/>
    </xf>
    <xf numFmtId="166" fontId="4" fillId="7" borderId="0" xfId="0" applyNumberFormat="1" applyFont="1" applyFill="1" applyBorder="1" applyAlignment="1">
      <alignment horizontal="right" vertical="center"/>
    </xf>
    <xf numFmtId="0" fontId="8" fillId="10" borderId="0" xfId="0" applyNumberFormat="1" applyFont="1" applyFill="1" applyBorder="1" applyAlignment="1">
      <alignment horizontal="left" vertical="center" wrapText="1"/>
    </xf>
    <xf numFmtId="0" fontId="12" fillId="10" borderId="0" xfId="0" applyNumberFormat="1" applyFont="1" applyFill="1" applyBorder="1" applyAlignment="1">
      <alignment horizontal="left" vertical="center" wrapText="1"/>
    </xf>
    <xf numFmtId="0" fontId="8" fillId="10" borderId="7" xfId="0" applyNumberFormat="1" applyFont="1" applyFill="1" applyBorder="1" applyAlignment="1">
      <alignment horizontal="left" vertical="center" wrapText="1"/>
    </xf>
    <xf numFmtId="166" fontId="8" fillId="10" borderId="7" xfId="0" applyNumberFormat="1" applyFont="1" applyFill="1" applyBorder="1" applyAlignment="1">
      <alignment horizontal="right" vertical="center"/>
    </xf>
    <xf numFmtId="166" fontId="9" fillId="10" borderId="7" xfId="0" applyNumberFormat="1" applyFont="1" applyFill="1" applyBorder="1" applyAlignment="1">
      <alignment horizontal="right" vertical="center"/>
    </xf>
    <xf numFmtId="0" fontId="12" fillId="10" borderId="3" xfId="0" applyNumberFormat="1" applyFont="1" applyFill="1" applyBorder="1" applyAlignment="1">
      <alignment horizontal="left" vertical="center"/>
    </xf>
    <xf numFmtId="0" fontId="8" fillId="10" borderId="7" xfId="0" applyNumberFormat="1" applyFont="1" applyFill="1" applyBorder="1" applyAlignment="1">
      <alignment horizontal="left" vertical="center"/>
    </xf>
    <xf numFmtId="0" fontId="12" fillId="10" borderId="11" xfId="0" applyNumberFormat="1" applyFont="1" applyFill="1" applyBorder="1" applyAlignment="1">
      <alignment horizontal="left" vertical="center"/>
    </xf>
    <xf numFmtId="0" fontId="8" fillId="10" borderId="10" xfId="0" applyNumberFormat="1" applyFont="1" applyFill="1" applyBorder="1" applyAlignment="1">
      <alignment horizontal="left" vertical="center" wrapText="1"/>
    </xf>
    <xf numFmtId="166" fontId="8" fillId="10" borderId="8" xfId="0" applyNumberFormat="1" applyFont="1" applyFill="1" applyBorder="1" applyAlignment="1">
      <alignment horizontal="right" vertical="center"/>
    </xf>
    <xf numFmtId="166" fontId="9" fillId="10" borderId="8" xfId="0" applyNumberFormat="1" applyFont="1" applyFill="1" applyBorder="1" applyAlignment="1">
      <alignment horizontal="right" vertical="center"/>
    </xf>
    <xf numFmtId="166" fontId="7" fillId="10" borderId="3" xfId="0" applyNumberFormat="1" applyFont="1" applyFill="1" applyBorder="1" applyAlignment="1">
      <alignment horizontal="right" vertical="center" wrapText="1"/>
    </xf>
    <xf numFmtId="0" fontId="13" fillId="9" borderId="15" xfId="0" applyNumberFormat="1" applyFont="1" applyFill="1" applyBorder="1" applyAlignment="1">
      <alignment horizontal="left" vertical="center"/>
    </xf>
    <xf numFmtId="172" fontId="13" fillId="9" borderId="15" xfId="0" applyNumberFormat="1" applyFont="1" applyFill="1" applyBorder="1" applyAlignment="1">
      <alignment horizontal="right" vertical="center"/>
    </xf>
    <xf numFmtId="166" fontId="15" fillId="8" borderId="24" xfId="0" applyNumberFormat="1" applyFont="1" applyFill="1" applyBorder="1" applyAlignment="1">
      <alignment horizontal="right" vertical="center"/>
    </xf>
    <xf numFmtId="166" fontId="9" fillId="6" borderId="24" xfId="0" applyNumberFormat="1" applyFont="1" applyFill="1" applyBorder="1" applyAlignment="1">
      <alignment horizontal="right" vertical="center"/>
    </xf>
    <xf numFmtId="166" fontId="9" fillId="6" borderId="25" xfId="0" applyNumberFormat="1" applyFont="1" applyFill="1" applyBorder="1" applyAlignment="1">
      <alignment horizontal="right" vertical="center"/>
    </xf>
    <xf numFmtId="0" fontId="8" fillId="10" borderId="3" xfId="0" applyNumberFormat="1" applyFont="1" applyFill="1" applyBorder="1" applyAlignment="1">
      <alignment horizontal="left" vertical="center"/>
    </xf>
    <xf numFmtId="0" fontId="12" fillId="10" borderId="16" xfId="0" applyNumberFormat="1" applyFont="1" applyFill="1" applyBorder="1" applyAlignment="1">
      <alignment horizontal="left" vertical="center"/>
    </xf>
    <xf numFmtId="166" fontId="12" fillId="10" borderId="15" xfId="0" applyNumberFormat="1" applyFont="1" applyFill="1" applyBorder="1" applyAlignment="1">
      <alignment horizontal="right" vertical="center"/>
    </xf>
    <xf numFmtId="166" fontId="9" fillId="10" borderId="15" xfId="0" applyNumberFormat="1" applyFont="1" applyFill="1" applyBorder="1" applyAlignment="1">
      <alignment horizontal="right" vertical="center"/>
    </xf>
    <xf numFmtId="0" fontId="8" fillId="10" borderId="17" xfId="0" applyNumberFormat="1" applyFont="1" applyFill="1" applyBorder="1" applyAlignment="1">
      <alignment horizontal="left" vertical="center"/>
    </xf>
    <xf numFmtId="166" fontId="8" fillId="10" borderId="18" xfId="0" applyNumberFormat="1" applyFont="1" applyFill="1" applyBorder="1" applyAlignment="1">
      <alignment horizontal="right" vertical="center"/>
    </xf>
    <xf numFmtId="166" fontId="9" fillId="10" borderId="18" xfId="0" applyNumberFormat="1" applyFont="1" applyFill="1" applyBorder="1" applyAlignment="1">
      <alignment horizontal="right" vertical="center"/>
    </xf>
    <xf numFmtId="0" fontId="6" fillId="6" borderId="0" xfId="0" applyNumberFormat="1" applyFont="1" applyFill="1" applyBorder="1" applyAlignment="1">
      <alignment vertical="center"/>
    </xf>
    <xf numFmtId="0" fontId="8" fillId="6" borderId="15" xfId="0" applyNumberFormat="1" applyFont="1" applyFill="1" applyBorder="1" applyAlignment="1">
      <alignment vertical="center"/>
    </xf>
    <xf numFmtId="167" fontId="8" fillId="6" borderId="15" xfId="0" applyNumberFormat="1" applyFont="1" applyFill="1" applyBorder="1" applyAlignment="1">
      <alignment vertical="center"/>
    </xf>
    <xf numFmtId="0" fontId="8" fillId="9" borderId="15" xfId="0" applyNumberFormat="1" applyFont="1" applyFill="1" applyBorder="1" applyAlignment="1">
      <alignment vertical="center"/>
    </xf>
    <xf numFmtId="167" fontId="8" fillId="9" borderId="15" xfId="0" applyNumberFormat="1" applyFont="1" applyFill="1" applyBorder="1" applyAlignment="1">
      <alignment vertical="center"/>
    </xf>
    <xf numFmtId="0" fontId="5" fillId="9" borderId="0" xfId="0" applyNumberFormat="1" applyFont="1" applyFill="1" applyBorder="1" applyAlignment="1">
      <alignment vertical="center"/>
    </xf>
    <xf numFmtId="167" fontId="5" fillId="9" borderId="0" xfId="0" applyNumberFormat="1" applyFont="1" applyFill="1" applyBorder="1" applyAlignment="1">
      <alignment vertical="center"/>
    </xf>
    <xf numFmtId="0" fontId="8" fillId="9" borderId="0" xfId="0" applyNumberFormat="1" applyFont="1" applyFill="1" applyBorder="1" applyAlignment="1">
      <alignment vertical="center"/>
    </xf>
    <xf numFmtId="167" fontId="8" fillId="9" borderId="0" xfId="0" applyNumberFormat="1" applyFont="1" applyFill="1" applyBorder="1" applyAlignment="1">
      <alignment vertical="center"/>
    </xf>
    <xf numFmtId="170" fontId="10" fillId="9" borderId="0" xfId="0" applyNumberFormat="1" applyFont="1" applyFill="1" applyBorder="1" applyAlignment="1">
      <alignment vertical="center"/>
    </xf>
    <xf numFmtId="168" fontId="10" fillId="9" borderId="0" xfId="0" applyNumberFormat="1" applyFont="1" applyFill="1" applyBorder="1" applyAlignment="1">
      <alignment vertical="center"/>
    </xf>
    <xf numFmtId="0" fontId="6" fillId="9" borderId="0" xfId="0" applyNumberFormat="1" applyFont="1" applyFill="1" applyBorder="1" applyAlignment="1">
      <alignment vertical="center"/>
    </xf>
    <xf numFmtId="168" fontId="5" fillId="9" borderId="0" xfId="0" applyNumberFormat="1" applyFont="1" applyFill="1" applyBorder="1" applyAlignment="1">
      <alignment vertical="center"/>
    </xf>
    <xf numFmtId="0" fontId="4" fillId="7" borderId="0" xfId="0" applyNumberFormat="1" applyFont="1" applyFill="1" applyBorder="1" applyAlignment="1">
      <alignment vertical="center"/>
    </xf>
    <xf numFmtId="0" fontId="5" fillId="6" borderId="0" xfId="0" applyNumberFormat="1" applyFont="1" applyFill="1" applyBorder="1" applyAlignment="1">
      <alignment vertical="center"/>
    </xf>
    <xf numFmtId="0" fontId="12" fillId="8" borderId="26" xfId="0" applyNumberFormat="1" applyFont="1" applyFill="1" applyBorder="1" applyAlignment="1">
      <alignment vertical="top" wrapText="1"/>
    </xf>
    <xf numFmtId="0" fontId="12" fillId="8" borderId="29" xfId="0" applyNumberFormat="1" applyFont="1" applyFill="1" applyBorder="1" applyAlignment="1">
      <alignment vertical="top" wrapText="1"/>
    </xf>
    <xf numFmtId="0" fontId="12" fillId="8" borderId="31" xfId="0" applyNumberFormat="1" applyFont="1" applyFill="1" applyBorder="1" applyAlignment="1">
      <alignment vertical="top" wrapText="1"/>
    </xf>
    <xf numFmtId="0" fontId="23" fillId="6" borderId="0" xfId="0" applyNumberFormat="1" applyFont="1" applyFill="1" applyBorder="1" applyAlignment="1">
      <alignment wrapText="1"/>
    </xf>
    <xf numFmtId="0" fontId="12" fillId="10" borderId="0" xfId="0" applyNumberFormat="1" applyFont="1" applyFill="1" applyAlignment="1">
      <alignment vertical="top" wrapText="1"/>
    </xf>
    <xf numFmtId="0" fontId="12" fillId="10" borderId="30" xfId="0" applyNumberFormat="1" applyFont="1" applyFill="1" applyBorder="1" applyAlignment="1">
      <alignment vertical="top" wrapText="1"/>
    </xf>
    <xf numFmtId="0" fontId="12" fillId="10" borderId="32" xfId="0" applyNumberFormat="1" applyFont="1" applyFill="1" applyBorder="1" applyAlignment="1">
      <alignment vertical="top" wrapText="1"/>
    </xf>
    <xf numFmtId="0" fontId="12" fillId="10" borderId="33" xfId="0" applyNumberFormat="1" applyFont="1" applyFill="1" applyBorder="1" applyAlignment="1">
      <alignment vertical="top" wrapText="1"/>
    </xf>
    <xf numFmtId="0" fontId="12" fillId="12" borderId="27" xfId="0" applyNumberFormat="1" applyFont="1" applyFill="1" applyBorder="1" applyAlignment="1">
      <alignment vertical="top" wrapText="1"/>
    </xf>
    <xf numFmtId="0" fontId="12" fillId="12" borderId="0" xfId="0" applyNumberFormat="1" applyFont="1" applyFill="1" applyAlignment="1">
      <alignment vertical="top" wrapText="1"/>
    </xf>
    <xf numFmtId="0" fontId="12" fillId="12" borderId="32" xfId="0" applyNumberFormat="1" applyFont="1" applyFill="1" applyBorder="1" applyAlignment="1">
      <alignment vertical="top" wrapText="1"/>
    </xf>
    <xf numFmtId="0" fontId="12" fillId="8" borderId="0" xfId="0" applyNumberFormat="1" applyFont="1" applyFill="1" applyAlignment="1">
      <alignment vertical="top" wrapText="1"/>
    </xf>
    <xf numFmtId="0" fontId="12" fillId="8" borderId="30" xfId="0" applyNumberFormat="1" applyFont="1" applyFill="1" applyBorder="1" applyAlignment="1">
      <alignment vertical="top" wrapText="1"/>
    </xf>
    <xf numFmtId="0" fontId="26" fillId="8" borderId="32" xfId="0" applyNumberFormat="1" applyFont="1" applyFill="1" applyBorder="1" applyAlignment="1">
      <alignment vertical="top" wrapText="1"/>
    </xf>
    <xf numFmtId="0" fontId="26" fillId="8" borderId="33" xfId="0" applyNumberFormat="1" applyFont="1" applyFill="1" applyBorder="1" applyAlignment="1">
      <alignment vertical="top" wrapText="1"/>
    </xf>
    <xf numFmtId="0" fontId="12" fillId="12" borderId="32" xfId="0" applyNumberFormat="1" applyFont="1" applyFill="1" applyBorder="1" applyAlignment="1">
      <alignment vertical="top" wrapText="1"/>
    </xf>
    <xf numFmtId="0" fontId="12" fillId="12" borderId="33" xfId="0" applyNumberFormat="1" applyFont="1" applyFill="1" applyBorder="1" applyAlignment="1">
      <alignment vertical="top" wrapText="1"/>
    </xf>
    <xf numFmtId="0" fontId="4" fillId="7" borderId="0" xfId="0" applyNumberFormat="1" applyFont="1" applyFill="1" applyBorder="1" applyAlignment="1">
      <alignment vertical="center"/>
    </xf>
    <xf numFmtId="0" fontId="23" fillId="6" borderId="0" xfId="0" applyNumberFormat="1" applyFont="1" applyFill="1" applyBorder="1" applyAlignment="1"/>
    <xf numFmtId="0" fontId="12" fillId="8" borderId="27" xfId="0" applyNumberFormat="1" applyFont="1" applyFill="1" applyBorder="1" applyAlignment="1">
      <alignment vertical="top" wrapText="1"/>
    </xf>
    <xf numFmtId="0" fontId="12" fillId="8" borderId="28" xfId="0" applyNumberFormat="1" applyFont="1" applyFill="1" applyBorder="1" applyAlignment="1">
      <alignment vertical="top" wrapText="1"/>
    </xf>
    <xf numFmtId="0" fontId="12" fillId="10" borderId="32" xfId="0" applyNumberFormat="1" applyFont="1" applyFill="1" applyBorder="1" applyAlignment="1">
      <alignment vertical="top" wrapText="1"/>
    </xf>
    <xf numFmtId="0" fontId="12" fillId="10" borderId="33" xfId="0" applyNumberFormat="1" applyFont="1" applyFill="1" applyBorder="1" applyAlignment="1">
      <alignment vertical="top" wrapText="1"/>
    </xf>
    <xf numFmtId="0" fontId="12" fillId="12" borderId="27" xfId="0" applyNumberFormat="1" applyFont="1" applyFill="1" applyBorder="1" applyAlignment="1">
      <alignment vertical="top" wrapText="1"/>
    </xf>
    <xf numFmtId="0" fontId="12" fillId="12" borderId="28" xfId="0" applyNumberFormat="1" applyFont="1" applyFill="1" applyBorder="1" applyAlignment="1">
      <alignment vertical="top" wrapText="1"/>
    </xf>
    <xf numFmtId="0" fontId="12" fillId="12" borderId="0" xfId="0" applyNumberFormat="1" applyFont="1" applyFill="1" applyAlignment="1">
      <alignment vertical="top" wrapText="1"/>
    </xf>
    <xf numFmtId="0" fontId="12" fillId="12" borderId="30" xfId="0" applyNumberFormat="1" applyFont="1" applyFill="1" applyBorder="1" applyAlignment="1">
      <alignment vertical="top" wrapText="1"/>
    </xf>
    <xf numFmtId="0" fontId="23" fillId="6" borderId="0" xfId="0" applyNumberFormat="1" applyFont="1" applyFill="1" applyBorder="1" applyAlignment="1">
      <alignment wrapText="1"/>
    </xf>
    <xf numFmtId="0" fontId="12" fillId="11" borderId="27" xfId="0" applyNumberFormat="1" applyFont="1" applyFill="1" applyBorder="1" applyAlignment="1">
      <alignment vertical="top" wrapText="1"/>
    </xf>
    <xf numFmtId="0" fontId="12" fillId="11" borderId="28" xfId="0" applyNumberFormat="1" applyFont="1" applyFill="1" applyBorder="1" applyAlignment="1">
      <alignment vertical="top" wrapText="1"/>
    </xf>
    <xf numFmtId="0" fontId="12" fillId="11" borderId="0" xfId="0" applyNumberFormat="1" applyFont="1" applyFill="1" applyAlignment="1">
      <alignment vertical="top" wrapText="1"/>
    </xf>
    <xf numFmtId="0" fontId="12" fillId="11" borderId="30" xfId="0" applyNumberFormat="1" applyFont="1" applyFill="1" applyBorder="1" applyAlignment="1">
      <alignment vertical="top" wrapText="1"/>
    </xf>
    <xf numFmtId="0" fontId="12" fillId="10" borderId="0" xfId="0" applyNumberFormat="1" applyFont="1" applyFill="1" applyAlignment="1">
      <alignment vertical="top" wrapText="1"/>
    </xf>
    <xf numFmtId="0" fontId="12" fillId="10" borderId="30" xfId="0" applyNumberFormat="1" applyFont="1" applyFill="1" applyBorder="1" applyAlignment="1">
      <alignment vertical="top" wrapText="1"/>
    </xf>
    <xf numFmtId="0" fontId="20" fillId="5" borderId="0" xfId="0" applyNumberFormat="1" applyFont="1" applyFill="1" applyBorder="1" applyAlignment="1">
      <alignment vertical="center"/>
    </xf>
    <xf numFmtId="0" fontId="21" fillId="6" borderId="0" xfId="0" applyNumberFormat="1" applyFont="1" applyFill="1" applyBorder="1" applyAlignment="1">
      <alignment vertical="center"/>
    </xf>
    <xf numFmtId="0" fontId="12" fillId="8" borderId="26" xfId="0" applyNumberFormat="1" applyFont="1" applyFill="1" applyBorder="1" applyAlignment="1">
      <alignment vertical="top" wrapText="1"/>
    </xf>
    <xf numFmtId="0" fontId="12" fillId="8" borderId="29" xfId="0" applyNumberFormat="1" applyFont="1" applyFill="1" applyBorder="1" applyAlignment="1">
      <alignment vertical="top" wrapText="1"/>
    </xf>
    <xf numFmtId="0" fontId="12" fillId="8" borderId="31" xfId="0" applyNumberFormat="1" applyFont="1" applyFill="1" applyBorder="1" applyAlignment="1">
      <alignment vertical="top" wrapText="1"/>
    </xf>
    <xf numFmtId="0" fontId="12" fillId="8" borderId="32" xfId="0" applyNumberFormat="1" applyFont="1" applyFill="1" applyBorder="1" applyAlignment="1">
      <alignment vertical="top" wrapText="1"/>
    </xf>
    <xf numFmtId="0" fontId="12" fillId="8" borderId="33" xfId="0" applyNumberFormat="1" applyFont="1" applyFill="1" applyBorder="1" applyAlignment="1">
      <alignment vertical="top" wrapText="1"/>
    </xf>
    <xf numFmtId="0" fontId="11" fillId="3" borderId="0" xfId="0" applyNumberFormat="1" applyFont="1" applyFill="1" applyBorder="1" applyAlignment="1">
      <alignment vertical="center"/>
    </xf>
    <xf numFmtId="0" fontId="4" fillId="3" borderId="0" xfId="0" applyNumberFormat="1" applyFont="1" applyFill="1" applyBorder="1" applyAlignment="1">
      <alignment vertical="center"/>
    </xf>
    <xf numFmtId="167" fontId="9" fillId="3" borderId="0" xfId="0" applyNumberFormat="1" applyFont="1" applyFill="1" applyBorder="1" applyAlignment="1">
      <alignment vertical="center"/>
    </xf>
    <xf numFmtId="0" fontId="5" fillId="0" borderId="0" xfId="0" applyNumberFormat="1" applyFont="1" applyFill="1" applyBorder="1" applyAlignment="1">
      <alignment vertical="center" wrapText="1"/>
    </xf>
    <xf numFmtId="0" fontId="5" fillId="6" borderId="0" xfId="0" applyNumberFormat="1" applyFont="1" applyFill="1" applyBorder="1" applyAlignment="1">
      <alignment vertical="center"/>
    </xf>
    <xf numFmtId="0" fontId="11" fillId="13" borderId="0" xfId="0" applyNumberFormat="1" applyFont="1" applyFill="1" applyBorder="1" applyAlignment="1">
      <alignment horizontal="left" vertical="center"/>
    </xf>
    <xf numFmtId="0" fontId="4" fillId="13" borderId="20" xfId="0" applyNumberFormat="1" applyFont="1" applyFill="1" applyBorder="1" applyAlignment="1">
      <alignment horizontal="left" vertical="center" wrapText="1"/>
    </xf>
    <xf numFmtId="0" fontId="11" fillId="13" borderId="5" xfId="0" applyNumberFormat="1" applyFont="1" applyFill="1" applyBorder="1" applyAlignment="1">
      <alignment horizontal="center" vertical="center" wrapText="1"/>
    </xf>
    <xf numFmtId="0" fontId="11" fillId="13" borderId="0" xfId="0" applyNumberFormat="1" applyFont="1" applyFill="1" applyBorder="1" applyAlignment="1">
      <alignment vertical="center"/>
    </xf>
    <xf numFmtId="0" fontId="4" fillId="13" borderId="23" xfId="0" applyNumberFormat="1" applyFont="1" applyFill="1" applyBorder="1" applyAlignment="1">
      <alignment horizontal="left" vertical="center"/>
    </xf>
    <xf numFmtId="0" fontId="11" fillId="13" borderId="0" xfId="0" applyNumberFormat="1" applyFont="1" applyFill="1" applyBorder="1" applyAlignment="1">
      <alignment horizontal="left" vertical="center"/>
    </xf>
    <xf numFmtId="0" fontId="11" fillId="13" borderId="0" xfId="0" applyNumberFormat="1" applyFont="1" applyFill="1" applyBorder="1" applyAlignment="1">
      <alignment vertical="center"/>
    </xf>
    <xf numFmtId="0" fontId="14" fillId="13" borderId="0" xfId="0" applyNumberFormat="1" applyFont="1" applyFill="1" applyBorder="1" applyAlignment="1">
      <alignment horizontal="left" vertical="center"/>
    </xf>
    <xf numFmtId="0" fontId="4" fillId="13" borderId="0" xfId="0" applyNumberFormat="1" applyFont="1" applyFill="1" applyBorder="1" applyAlignment="1">
      <alignment horizontal="left" vertical="center"/>
    </xf>
    <xf numFmtId="0" fontId="4" fillId="13" borderId="5" xfId="0" applyNumberFormat="1" applyFont="1" applyFill="1" applyBorder="1" applyAlignment="1">
      <alignment horizontal="left" vertical="center" wrapText="1"/>
    </xf>
    <xf numFmtId="166" fontId="4" fillId="13" borderId="5" xfId="0" applyNumberFormat="1" applyFont="1" applyFill="1" applyBorder="1" applyAlignment="1">
      <alignment horizontal="right" vertical="center" wrapText="1"/>
    </xf>
    <xf numFmtId="0" fontId="28" fillId="13" borderId="0" xfId="0" applyNumberFormat="1" applyFont="1" applyFill="1" applyBorder="1" applyAlignment="1">
      <alignment horizontal="left" vertical="center"/>
    </xf>
    <xf numFmtId="166" fontId="28" fillId="13" borderId="5" xfId="0" applyNumberFormat="1" applyFont="1" applyFill="1" applyBorder="1" applyAlignment="1">
      <alignment horizontal="right" vertical="center" wrapText="1"/>
    </xf>
    <xf numFmtId="0" fontId="28" fillId="13" borderId="0" xfId="0" applyNumberFormat="1" applyFont="1" applyFill="1" applyBorder="1" applyAlignment="1">
      <alignment horizontal="left" vertical="center" wrapText="1"/>
    </xf>
    <xf numFmtId="166" fontId="28" fillId="13" borderId="4" xfId="0" applyNumberFormat="1" applyFont="1" applyFill="1" applyBorder="1" applyAlignment="1">
      <alignment horizontal="right" vertical="center"/>
    </xf>
    <xf numFmtId="166" fontId="8" fillId="0" borderId="3" xfId="0" applyNumberFormat="1" applyFont="1" applyFill="1" applyBorder="1" applyAlignment="1">
      <alignment horizontal="right" vertical="center"/>
    </xf>
    <xf numFmtId="166" fontId="8" fillId="0" borderId="0" xfId="0" applyNumberFormat="1" applyFont="1" applyFill="1" applyBorder="1" applyAlignment="1">
      <alignment horizontal="right" vertical="center"/>
    </xf>
  </cellXfs>
  <cellStyles count="1">
    <cellStyle name="Normal" xfId="0" builtinId="0"/>
  </cellStyles>
  <dxfs count="2">
    <dxf>
      <font>
        <b/>
        <color rgb="FF166534"/>
      </font>
      <fill>
        <patternFill>
          <bgColor rgb="FFDCFCE7"/>
        </patternFill>
      </fill>
    </dxf>
    <dxf>
      <font>
        <b/>
        <color rgb="FFB91C1C"/>
      </font>
      <fill>
        <patternFill>
          <bgColor rgb="FFFECACA"/>
        </patternFill>
      </fill>
    </dxf>
  </dxfs>
  <tableStyles count="0" defaultTableStyle="TableStyleMedium2" defaultPivotStyle="PivotStyleLight16"/>
  <colors>
    <mruColors>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8"/>
  <sheetViews>
    <sheetView showGridLines="0" topLeftCell="A20" workbookViewId="0">
      <selection activeCell="H6" sqref="H6"/>
    </sheetView>
  </sheetViews>
  <sheetFormatPr defaultRowHeight="15"/>
  <cols>
    <col min="1" max="1" width="3.140625" customWidth="1"/>
    <col min="2" max="2" width="48" customWidth="1"/>
    <col min="3" max="7" width="14" customWidth="1"/>
    <col min="8" max="8" width="62" customWidth="1"/>
  </cols>
  <sheetData>
    <row r="1" spans="2:8" ht="27" customHeight="1">
      <c r="B1" s="233" t="s">
        <v>0</v>
      </c>
      <c r="C1" s="233"/>
      <c r="D1" s="233"/>
      <c r="E1" s="233"/>
      <c r="F1" s="233"/>
      <c r="G1" s="233"/>
      <c r="H1" s="233"/>
    </row>
    <row r="2" spans="2:8" ht="18.95" customHeight="1">
      <c r="B2" s="179" t="s">
        <v>1</v>
      </c>
      <c r="C2" s="102" t="s">
        <v>2</v>
      </c>
      <c r="D2" s="102" t="s">
        <v>3</v>
      </c>
      <c r="E2" s="102" t="s">
        <v>4</v>
      </c>
      <c r="F2" s="102" t="s">
        <v>5</v>
      </c>
      <c r="G2" s="102" t="s">
        <v>6</v>
      </c>
      <c r="H2" s="179" t="s">
        <v>7</v>
      </c>
    </row>
    <row r="3" spans="2:8" ht="30" customHeight="1">
      <c r="B3" s="30" t="s">
        <v>8</v>
      </c>
      <c r="C3" s="63">
        <v>9.5000000000000001E-2</v>
      </c>
      <c r="D3" s="63">
        <v>9.5000000000000001E-2</v>
      </c>
      <c r="E3" s="63">
        <v>0.09</v>
      </c>
      <c r="F3" s="63">
        <v>8.5000000000000006E-2</v>
      </c>
      <c r="G3" s="63">
        <v>0.08</v>
      </c>
      <c r="H3" s="103"/>
    </row>
    <row r="4" spans="2:8" ht="30" customHeight="1">
      <c r="B4" s="30" t="s">
        <v>9</v>
      </c>
      <c r="C4" s="63">
        <v>1.4999999999999999E-2</v>
      </c>
      <c r="D4" s="63">
        <v>1.4999999999999999E-2</v>
      </c>
      <c r="E4" s="63">
        <v>1.4999999999999999E-2</v>
      </c>
      <c r="F4" s="63">
        <v>1.4999999999999999E-2</v>
      </c>
      <c r="G4" s="63">
        <v>1.4999999999999999E-2</v>
      </c>
      <c r="H4" s="103"/>
    </row>
    <row r="5" spans="2:8" ht="8.1" customHeight="1">
      <c r="B5" s="30"/>
      <c r="C5" s="64"/>
      <c r="D5" s="64"/>
      <c r="E5" s="64"/>
      <c r="F5" s="64"/>
      <c r="G5" s="64"/>
      <c r="H5" s="103"/>
    </row>
    <row r="6" spans="2:8" ht="30" customHeight="1">
      <c r="B6" s="179" t="s">
        <v>10</v>
      </c>
      <c r="C6" s="104" t="s">
        <v>2</v>
      </c>
      <c r="D6" s="104" t="s">
        <v>3</v>
      </c>
      <c r="E6" s="104" t="s">
        <v>4</v>
      </c>
      <c r="F6" s="104" t="s">
        <v>5</v>
      </c>
      <c r="G6" s="104" t="s">
        <v>6</v>
      </c>
      <c r="H6" s="105"/>
    </row>
    <row r="7" spans="2:8" ht="30" customHeight="1">
      <c r="B7" s="30" t="s">
        <v>11</v>
      </c>
      <c r="C7" s="63">
        <v>0.43</v>
      </c>
      <c r="D7" s="63">
        <v>0.432</v>
      </c>
      <c r="E7" s="63">
        <v>0.433</v>
      </c>
      <c r="F7" s="63">
        <v>0.435</v>
      </c>
      <c r="G7" s="63">
        <v>0.435</v>
      </c>
      <c r="H7" s="106"/>
    </row>
    <row r="8" spans="2:8" ht="30" customHeight="1">
      <c r="B8" s="30" t="s">
        <v>12</v>
      </c>
      <c r="C8" s="63">
        <v>7.4999999999999997E-2</v>
      </c>
      <c r="D8" s="63">
        <v>7.4999999999999997E-2</v>
      </c>
      <c r="E8" s="63">
        <v>7.2999999999999995E-2</v>
      </c>
      <c r="F8" s="63">
        <v>7.0000000000000007E-2</v>
      </c>
      <c r="G8" s="63">
        <v>7.0000000000000007E-2</v>
      </c>
      <c r="H8" s="106"/>
    </row>
    <row r="9" spans="2:8" ht="30" customHeight="1">
      <c r="B9" s="30" t="s">
        <v>13</v>
      </c>
      <c r="C9" s="63">
        <v>0.17</v>
      </c>
      <c r="D9" s="63">
        <v>0.17</v>
      </c>
      <c r="E9" s="63">
        <v>0.17</v>
      </c>
      <c r="F9" s="63">
        <v>0.17</v>
      </c>
      <c r="G9" s="63">
        <v>0.17</v>
      </c>
      <c r="H9" s="106"/>
    </row>
    <row r="10" spans="2:8" ht="30" customHeight="1">
      <c r="B10" s="30" t="s">
        <v>14</v>
      </c>
      <c r="C10" s="63">
        <v>0.17399999999999999</v>
      </c>
      <c r="D10" s="63">
        <v>0.17499999999999999</v>
      </c>
      <c r="E10" s="63">
        <v>0.17599999999999999</v>
      </c>
      <c r="F10" s="63">
        <v>0.18</v>
      </c>
      <c r="G10" s="63">
        <v>0.17899999999999999</v>
      </c>
      <c r="H10" s="106"/>
    </row>
    <row r="11" spans="2:8" ht="30" customHeight="1">
      <c r="B11" s="30" t="s">
        <v>15</v>
      </c>
      <c r="C11" s="63">
        <v>0.20399999999999999</v>
      </c>
      <c r="D11" s="63">
        <v>0.20399999999999999</v>
      </c>
      <c r="E11" s="63">
        <v>0.20599999999999999</v>
      </c>
      <c r="F11" s="63">
        <v>0.21</v>
      </c>
      <c r="G11" s="63">
        <v>0.20899999999999999</v>
      </c>
      <c r="H11" s="106"/>
    </row>
    <row r="12" spans="2:8" ht="30" customHeight="1">
      <c r="B12" s="30" t="s">
        <v>16</v>
      </c>
      <c r="C12" s="63">
        <v>0.128</v>
      </c>
      <c r="D12" s="63">
        <v>0.129</v>
      </c>
      <c r="E12" s="63">
        <v>0.13</v>
      </c>
      <c r="F12" s="63">
        <v>0.13300000000000001</v>
      </c>
      <c r="G12" s="63">
        <v>0.13300000000000001</v>
      </c>
      <c r="H12" s="106"/>
    </row>
    <row r="13" spans="2:8" ht="30" customHeight="1">
      <c r="B13" s="30" t="s">
        <v>17</v>
      </c>
      <c r="C13" s="63">
        <v>0.03</v>
      </c>
      <c r="D13" s="63">
        <v>0.03</v>
      </c>
      <c r="E13" s="63">
        <v>0.03</v>
      </c>
      <c r="F13" s="63">
        <v>0.03</v>
      </c>
      <c r="G13" s="63">
        <v>0.03</v>
      </c>
      <c r="H13" s="106"/>
    </row>
    <row r="14" spans="2:8" ht="30" customHeight="1">
      <c r="B14" s="30" t="s">
        <v>18</v>
      </c>
      <c r="C14" s="63">
        <v>5.0000000000000001E-3</v>
      </c>
      <c r="D14" s="63">
        <v>5.0000000000000001E-3</v>
      </c>
      <c r="E14" s="63">
        <v>5.0000000000000001E-3</v>
      </c>
      <c r="F14" s="63">
        <v>5.0000000000000001E-3</v>
      </c>
      <c r="G14" s="63">
        <v>5.0000000000000001E-3</v>
      </c>
      <c r="H14" s="106"/>
    </row>
    <row r="15" spans="2:8" ht="30" customHeight="1">
      <c r="B15" s="30" t="s">
        <v>19</v>
      </c>
      <c r="C15" s="65">
        <v>20</v>
      </c>
      <c r="D15" s="65">
        <v>20</v>
      </c>
      <c r="E15" s="65">
        <v>20</v>
      </c>
      <c r="F15" s="65">
        <v>20</v>
      </c>
      <c r="G15" s="65">
        <v>20</v>
      </c>
      <c r="H15" s="106"/>
    </row>
    <row r="16" spans="2:8" ht="30" customHeight="1">
      <c r="B16" s="30" t="s">
        <v>20</v>
      </c>
      <c r="C16" s="65">
        <v>0</v>
      </c>
      <c r="D16" s="65">
        <v>0</v>
      </c>
      <c r="E16" s="65">
        <v>0</v>
      </c>
      <c r="F16" s="65">
        <v>0</v>
      </c>
      <c r="G16" s="65">
        <v>0</v>
      </c>
      <c r="H16" s="106"/>
    </row>
    <row r="17" spans="2:8" ht="30" customHeight="1">
      <c r="B17" s="30" t="s">
        <v>21</v>
      </c>
      <c r="C17" s="63">
        <v>0.26</v>
      </c>
      <c r="D17" s="63">
        <v>0.26</v>
      </c>
      <c r="E17" s="63">
        <v>0.26</v>
      </c>
      <c r="F17" s="63">
        <v>0.26</v>
      </c>
      <c r="G17" s="63">
        <v>0.26</v>
      </c>
      <c r="H17" s="106"/>
    </row>
    <row r="18" spans="2:8" ht="30" customHeight="1">
      <c r="B18" s="30" t="s">
        <v>22</v>
      </c>
      <c r="C18" s="63">
        <v>0</v>
      </c>
      <c r="D18" s="63">
        <v>0</v>
      </c>
      <c r="E18" s="63">
        <v>0</v>
      </c>
      <c r="F18" s="63">
        <v>0</v>
      </c>
      <c r="G18" s="63">
        <v>0</v>
      </c>
      <c r="H18" s="103"/>
    </row>
    <row r="19" spans="2:8" ht="30" customHeight="1">
      <c r="B19" s="59" t="s">
        <v>23</v>
      </c>
      <c r="C19" s="63">
        <f>ABS('Historical data'!F123/'Historical data'!F25)</f>
        <v>0.72053318891662355</v>
      </c>
      <c r="D19" s="63">
        <f>C19</f>
        <v>0.72053318891662355</v>
      </c>
      <c r="E19" s="63">
        <f t="shared" ref="E19:G19" si="0">D19</f>
        <v>0.72053318891662355</v>
      </c>
      <c r="F19" s="63">
        <f t="shared" si="0"/>
        <v>0.72053318891662355</v>
      </c>
      <c r="G19" s="63">
        <f t="shared" si="0"/>
        <v>0.72053318891662355</v>
      </c>
      <c r="H19" s="103" t="s">
        <v>24</v>
      </c>
    </row>
    <row r="20" spans="2:8" ht="8.1" customHeight="1">
      <c r="B20" s="30"/>
      <c r="C20" s="66"/>
      <c r="D20" s="66"/>
      <c r="E20" s="66"/>
      <c r="F20" s="66"/>
      <c r="G20" s="66"/>
      <c r="H20" s="103"/>
    </row>
    <row r="21" spans="2:8" ht="30" customHeight="1">
      <c r="B21" s="179" t="s">
        <v>25</v>
      </c>
      <c r="C21" s="102" t="s">
        <v>2</v>
      </c>
      <c r="D21" s="102" t="s">
        <v>3</v>
      </c>
      <c r="E21" s="102" t="s">
        <v>4</v>
      </c>
      <c r="F21" s="102" t="s">
        <v>5</v>
      </c>
      <c r="G21" s="102" t="s">
        <v>6</v>
      </c>
      <c r="H21" s="105" t="s">
        <v>7</v>
      </c>
    </row>
    <row r="22" spans="2:8" ht="30" customHeight="1">
      <c r="B22" s="30" t="s">
        <v>26</v>
      </c>
      <c r="C22" s="67">
        <v>105</v>
      </c>
      <c r="D22" s="67">
        <v>105</v>
      </c>
      <c r="E22" s="67">
        <v>105</v>
      </c>
      <c r="F22" s="67">
        <v>105</v>
      </c>
      <c r="G22" s="67">
        <v>105</v>
      </c>
      <c r="H22" s="103"/>
    </row>
    <row r="23" spans="2:8" ht="30" customHeight="1">
      <c r="B23" s="30" t="s">
        <v>27</v>
      </c>
      <c r="C23" s="67">
        <v>46</v>
      </c>
      <c r="D23" s="67">
        <v>46</v>
      </c>
      <c r="E23" s="67">
        <v>46</v>
      </c>
      <c r="F23" s="67">
        <v>46</v>
      </c>
      <c r="G23" s="67">
        <v>46</v>
      </c>
      <c r="H23" s="103"/>
    </row>
    <row r="24" spans="2:8" ht="30" customHeight="1">
      <c r="B24" s="30" t="s">
        <v>28</v>
      </c>
      <c r="C24" s="67">
        <v>71</v>
      </c>
      <c r="D24" s="67">
        <v>71</v>
      </c>
      <c r="E24" s="67">
        <v>71</v>
      </c>
      <c r="F24" s="67">
        <v>71</v>
      </c>
      <c r="G24" s="67">
        <v>71</v>
      </c>
      <c r="H24" s="103"/>
    </row>
    <row r="25" spans="2:8" ht="8.1" customHeight="1">
      <c r="B25" s="30"/>
      <c r="C25" s="66"/>
      <c r="D25" s="66"/>
      <c r="E25" s="66"/>
      <c r="F25" s="66"/>
      <c r="G25" s="66"/>
      <c r="H25" s="103"/>
    </row>
    <row r="26" spans="2:8" ht="30" customHeight="1">
      <c r="B26" s="179" t="s">
        <v>29</v>
      </c>
      <c r="C26" s="102" t="s">
        <v>2</v>
      </c>
      <c r="D26" s="102" t="s">
        <v>3</v>
      </c>
      <c r="E26" s="102" t="s">
        <v>4</v>
      </c>
      <c r="F26" s="102" t="s">
        <v>5</v>
      </c>
      <c r="G26" s="102" t="s">
        <v>6</v>
      </c>
      <c r="H26" s="105" t="s">
        <v>7</v>
      </c>
    </row>
    <row r="27" spans="2:8" ht="30" customHeight="1">
      <c r="B27" s="30" t="s">
        <v>30</v>
      </c>
      <c r="C27" s="63">
        <v>0.05</v>
      </c>
      <c r="D27" s="63">
        <v>0.05</v>
      </c>
      <c r="E27" s="63">
        <v>0.05</v>
      </c>
      <c r="F27" s="63">
        <v>0.05</v>
      </c>
      <c r="G27" s="63">
        <v>0.05</v>
      </c>
      <c r="H27" s="103" t="s">
        <v>31</v>
      </c>
    </row>
    <row r="28" spans="2:8" ht="30" customHeight="1">
      <c r="B28" s="30" t="s">
        <v>32</v>
      </c>
      <c r="C28" s="68">
        <f>'Financial Model'!D5*5%</f>
        <v>1948.1988150000002</v>
      </c>
      <c r="D28" s="68">
        <f>'Financial Model'!E5*5%</f>
        <v>2133.2777024250004</v>
      </c>
      <c r="E28" s="68">
        <f>'Financial Model'!F5*5%</f>
        <v>2325.2726956432502</v>
      </c>
      <c r="F28" s="68">
        <f>'Financial Model'!G5*5%</f>
        <v>2522.9208747729267</v>
      </c>
      <c r="G28" s="68">
        <f>'Financial Model'!H5*5%</f>
        <v>2724.7545447547614</v>
      </c>
      <c r="H28" s="103"/>
    </row>
    <row r="29" spans="2:8" ht="30" customHeight="1">
      <c r="B29" s="30" t="s">
        <v>33</v>
      </c>
      <c r="C29" s="69">
        <f>C13</f>
        <v>0.03</v>
      </c>
      <c r="D29" s="69">
        <f>D13</f>
        <v>0.03</v>
      </c>
      <c r="E29" s="69">
        <f>E13</f>
        <v>0.03</v>
      </c>
      <c r="F29" s="69">
        <f>F13</f>
        <v>0.03</v>
      </c>
      <c r="G29" s="69">
        <f>G13</f>
        <v>0.03</v>
      </c>
      <c r="H29" s="103" t="s">
        <v>34</v>
      </c>
    </row>
    <row r="30" spans="2:8" ht="30" customHeight="1">
      <c r="B30" s="30" t="s">
        <v>35</v>
      </c>
      <c r="C30" s="69">
        <f>'Valuation Output'!C13</f>
        <v>9.9622500000000003E-2</v>
      </c>
      <c r="D30" s="64"/>
      <c r="E30" s="64"/>
      <c r="F30" s="64"/>
      <c r="G30" s="64"/>
      <c r="H30" s="103" t="s">
        <v>36</v>
      </c>
    </row>
    <row r="31" spans="2:8" ht="30" customHeight="1">
      <c r="B31" s="30" t="s">
        <v>37</v>
      </c>
      <c r="C31" s="69">
        <f>'Valuation Output'!F6</f>
        <v>0.05</v>
      </c>
      <c r="D31" s="64"/>
      <c r="E31" s="64"/>
      <c r="F31" s="64"/>
      <c r="G31" s="64"/>
      <c r="H31" s="103" t="s">
        <v>38</v>
      </c>
    </row>
    <row r="32" spans="2:8" ht="30" customHeight="1">
      <c r="B32" s="30" t="s">
        <v>39</v>
      </c>
      <c r="C32" s="69">
        <f>'Valuation Output'!C6</f>
        <v>6.6000000000000003E-2</v>
      </c>
      <c r="D32" s="64"/>
      <c r="E32" s="64"/>
      <c r="F32" s="64"/>
      <c r="G32" s="64"/>
      <c r="H32" s="103" t="s">
        <v>40</v>
      </c>
    </row>
    <row r="33" spans="2:8" ht="30" customHeight="1">
      <c r="B33" s="30" t="s">
        <v>41</v>
      </c>
      <c r="C33" s="69">
        <f>'Valuation Output'!C7</f>
        <v>5.5E-2</v>
      </c>
      <c r="D33" s="64"/>
      <c r="E33" s="64"/>
      <c r="F33" s="64"/>
      <c r="G33" s="64"/>
      <c r="H33" s="103" t="s">
        <v>42</v>
      </c>
    </row>
    <row r="34" spans="2:8" ht="30" customHeight="1">
      <c r="B34" s="30" t="s">
        <v>43</v>
      </c>
      <c r="C34" s="70">
        <f>'Valuation Output'!C8</f>
        <v>0.65</v>
      </c>
      <c r="D34" s="66"/>
      <c r="E34" s="66"/>
      <c r="F34" s="66"/>
      <c r="G34" s="66"/>
      <c r="H34" s="103" t="s">
        <v>44</v>
      </c>
    </row>
    <row r="35" spans="2:8" ht="8.1" customHeight="1">
      <c r="B35" s="30"/>
      <c r="C35" s="30"/>
      <c r="D35" s="30"/>
      <c r="E35" s="30"/>
      <c r="F35" s="30"/>
      <c r="G35" s="30"/>
      <c r="H35" s="30"/>
    </row>
    <row r="36" spans="2:8" ht="18.95" customHeight="1">
      <c r="B36" s="198" t="s">
        <v>45</v>
      </c>
      <c r="C36" s="198"/>
      <c r="D36" s="198"/>
      <c r="E36" s="198"/>
      <c r="F36" s="198"/>
      <c r="G36" s="198"/>
      <c r="H36" s="198"/>
    </row>
    <row r="37" spans="2:8" ht="18.95" customHeight="1">
      <c r="B37" s="60" t="s">
        <v>46</v>
      </c>
      <c r="C37" s="30" t="s">
        <v>47</v>
      </c>
      <c r="D37" s="30"/>
      <c r="E37" s="61" t="s">
        <v>48</v>
      </c>
      <c r="F37" s="30" t="s">
        <v>49</v>
      </c>
      <c r="G37" s="30"/>
      <c r="H37" s="30"/>
    </row>
    <row r="38" spans="2:8" ht="18.95" customHeight="1">
      <c r="B38" s="31" t="s">
        <v>50</v>
      </c>
      <c r="C38" s="30" t="s">
        <v>51</v>
      </c>
      <c r="D38" s="30"/>
      <c r="E38" s="62" t="s">
        <v>52</v>
      </c>
      <c r="F38" s="30" t="s">
        <v>53</v>
      </c>
      <c r="G38" s="30"/>
      <c r="H38" s="30"/>
    </row>
  </sheetData>
  <mergeCells count="2">
    <mergeCell ref="B1:H1"/>
    <mergeCell ref="B36:H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127"/>
  <sheetViews>
    <sheetView showGridLines="0" topLeftCell="A106" workbookViewId="0">
      <selection activeCell="I120" sqref="I120"/>
    </sheetView>
  </sheetViews>
  <sheetFormatPr defaultRowHeight="15"/>
  <cols>
    <col min="1" max="1" width="3.28515625" customWidth="1"/>
    <col min="2" max="2" width="43" customWidth="1"/>
    <col min="3" max="6" width="15" customWidth="1"/>
  </cols>
  <sheetData>
    <row r="1" spans="2:8">
      <c r="B1" s="50"/>
      <c r="C1" s="30"/>
      <c r="D1" s="30"/>
      <c r="E1" s="30"/>
      <c r="F1" s="30"/>
    </row>
    <row r="2" spans="2:8" ht="18">
      <c r="B2" s="232" t="s">
        <v>54</v>
      </c>
      <c r="C2" s="233"/>
      <c r="D2" s="233"/>
      <c r="E2" s="233"/>
      <c r="F2" s="233"/>
    </row>
    <row r="3" spans="2:8" ht="18.75">
      <c r="B3" s="234" t="s">
        <v>55</v>
      </c>
      <c r="C3" s="233"/>
      <c r="D3" s="233"/>
      <c r="E3" s="233"/>
      <c r="F3" s="233"/>
    </row>
    <row r="4" spans="2:8">
      <c r="B4" s="50"/>
      <c r="C4" s="30"/>
      <c r="D4" s="30"/>
      <c r="E4" s="30"/>
      <c r="F4" s="30"/>
    </row>
    <row r="5" spans="2:8">
      <c r="B5" s="235" t="s">
        <v>56</v>
      </c>
      <c r="C5" s="236" t="s">
        <v>57</v>
      </c>
      <c r="D5" s="236"/>
      <c r="E5" s="236"/>
      <c r="F5" s="236"/>
    </row>
    <row r="6" spans="2:8">
      <c r="B6" s="107" t="s">
        <v>58</v>
      </c>
      <c r="C6" s="108" t="s">
        <v>59</v>
      </c>
      <c r="D6" s="108" t="s">
        <v>60</v>
      </c>
      <c r="E6" s="108" t="s">
        <v>61</v>
      </c>
      <c r="F6" s="108" t="s">
        <v>62</v>
      </c>
    </row>
    <row r="7" spans="2:8">
      <c r="B7" s="51" t="s">
        <v>63</v>
      </c>
      <c r="C7" s="37">
        <v>34488.589999999997</v>
      </c>
      <c r="D7" s="37">
        <v>35494.730000000003</v>
      </c>
      <c r="E7" s="37">
        <v>33905.620000000003</v>
      </c>
      <c r="F7" s="37">
        <v>35583.54</v>
      </c>
    </row>
    <row r="8" spans="2:8">
      <c r="B8" s="32" t="s">
        <v>9</v>
      </c>
      <c r="C8" s="37">
        <v>386.48</v>
      </c>
      <c r="D8" s="37">
        <v>687.96</v>
      </c>
      <c r="E8" s="39">
        <v>572.61</v>
      </c>
      <c r="F8" s="39">
        <v>723.8</v>
      </c>
    </row>
    <row r="9" spans="2:8" ht="16.5">
      <c r="B9" s="52" t="s">
        <v>64</v>
      </c>
      <c r="C9" s="40">
        <f>SUM(C7:C8)</f>
        <v>34875.07</v>
      </c>
      <c r="D9" s="40">
        <f>SUM(D7:D8)</f>
        <v>36182.69</v>
      </c>
      <c r="E9" s="40">
        <f>SUM(E7:E8)</f>
        <v>34478.230000000003</v>
      </c>
      <c r="F9" s="40">
        <f>SUM(F7:F8)</f>
        <v>36307.340000000004</v>
      </c>
      <c r="H9" s="5"/>
    </row>
    <row r="10" spans="2:8">
      <c r="B10" s="51"/>
      <c r="C10" s="37"/>
      <c r="D10" s="37"/>
      <c r="E10" s="37"/>
      <c r="F10" s="37"/>
    </row>
    <row r="11" spans="2:8">
      <c r="B11" s="51" t="s">
        <v>65</v>
      </c>
      <c r="C11" s="242"/>
      <c r="D11" s="242"/>
      <c r="E11" s="242"/>
      <c r="F11" s="242"/>
    </row>
    <row r="12" spans="2:8">
      <c r="B12" s="32" t="s">
        <v>66</v>
      </c>
      <c r="C12" s="37">
        <v>21156.5</v>
      </c>
      <c r="D12" s="37">
        <v>20090.21</v>
      </c>
      <c r="E12" s="37">
        <v>19515.78</v>
      </c>
      <c r="F12" s="37">
        <v>20001.78</v>
      </c>
    </row>
    <row r="13" spans="2:8">
      <c r="B13" s="32" t="s">
        <v>67</v>
      </c>
      <c r="C13" s="37">
        <v>2028.07</v>
      </c>
      <c r="D13" s="37">
        <v>2326.1799999999998</v>
      </c>
      <c r="E13" s="37">
        <v>2597.23</v>
      </c>
      <c r="F13" s="37">
        <v>2799.59</v>
      </c>
    </row>
    <row r="14" spans="2:8">
      <c r="B14" s="32" t="s">
        <v>68</v>
      </c>
      <c r="C14" s="37">
        <v>5044.18</v>
      </c>
      <c r="D14" s="37">
        <v>5493.36</v>
      </c>
      <c r="E14" s="37">
        <v>5786.4</v>
      </c>
      <c r="F14" s="37">
        <v>6086.25</v>
      </c>
    </row>
    <row r="15" spans="2:8">
      <c r="B15" s="52" t="s">
        <v>69</v>
      </c>
      <c r="C15" s="40">
        <f>SUM(C12:C14)</f>
        <v>28228.75</v>
      </c>
      <c r="D15" s="40">
        <f>SUM(D12:D14)</f>
        <v>27909.75</v>
      </c>
      <c r="E15" s="40">
        <f>SUM(E12:E14)</f>
        <v>27899.409999999996</v>
      </c>
      <c r="F15" s="40">
        <f>SUM(F12:F14)</f>
        <v>28887.62</v>
      </c>
    </row>
    <row r="16" spans="2:8">
      <c r="B16" s="53"/>
      <c r="C16" s="41"/>
      <c r="D16" s="41"/>
      <c r="E16" s="41"/>
      <c r="F16" s="41"/>
    </row>
    <row r="17" spans="2:6">
      <c r="B17" s="52" t="s">
        <v>70</v>
      </c>
      <c r="C17" s="40">
        <f>C9-C15</f>
        <v>6646.32</v>
      </c>
      <c r="D17" s="40">
        <f>D9-D15</f>
        <v>8272.9400000000023</v>
      </c>
      <c r="E17" s="40">
        <f>E9-E15</f>
        <v>6578.820000000007</v>
      </c>
      <c r="F17" s="40">
        <f>F9-F15</f>
        <v>7419.7200000000048</v>
      </c>
    </row>
    <row r="18" spans="2:6">
      <c r="B18" s="32" t="s">
        <v>71</v>
      </c>
      <c r="C18" s="37">
        <v>858.02</v>
      </c>
      <c r="D18" s="37">
        <v>853</v>
      </c>
      <c r="E18" s="37">
        <v>1026.3399999999999</v>
      </c>
      <c r="F18" s="37">
        <v>1228.8499999999999</v>
      </c>
    </row>
    <row r="19" spans="2:6">
      <c r="B19" s="52" t="s">
        <v>72</v>
      </c>
      <c r="C19" s="40">
        <f>C17-C18</f>
        <v>5788.2999999999993</v>
      </c>
      <c r="D19" s="40">
        <f>D17-D18</f>
        <v>7419.9400000000023</v>
      </c>
      <c r="E19" s="40">
        <f>E17-E18</f>
        <v>5552.4800000000068</v>
      </c>
      <c r="F19" s="40">
        <f>F17-F18</f>
        <v>6190.8700000000044</v>
      </c>
    </row>
    <row r="20" spans="2:6">
      <c r="B20" s="32" t="s">
        <v>73</v>
      </c>
      <c r="C20" s="37">
        <v>144.44999999999999</v>
      </c>
      <c r="D20" s="37">
        <v>205.17</v>
      </c>
      <c r="E20" s="37">
        <v>227.02</v>
      </c>
      <c r="F20" s="37">
        <v>195.41</v>
      </c>
    </row>
    <row r="21" spans="2:6">
      <c r="B21" s="32" t="s">
        <v>74</v>
      </c>
      <c r="C21" s="37">
        <v>93.85</v>
      </c>
      <c r="D21" s="37">
        <v>133</v>
      </c>
      <c r="E21" s="37">
        <v>140.71</v>
      </c>
      <c r="F21" s="37">
        <v>165.59</v>
      </c>
    </row>
    <row r="22" spans="2:6">
      <c r="B22" s="32" t="s">
        <v>75</v>
      </c>
      <c r="C22" s="37">
        <v>48.87</v>
      </c>
      <c r="D22" s="37">
        <v>0</v>
      </c>
      <c r="E22" s="37">
        <v>363.1</v>
      </c>
      <c r="F22" s="37">
        <v>157.61000000000001</v>
      </c>
    </row>
    <row r="23" spans="2:6">
      <c r="B23" s="52" t="s">
        <v>76</v>
      </c>
      <c r="C23" s="40">
        <f>C19-C20+C21-C22</f>
        <v>5688.83</v>
      </c>
      <c r="D23" s="40">
        <f>D19-D20+D21-D22</f>
        <v>7347.7700000000023</v>
      </c>
      <c r="E23" s="40">
        <f t="shared" ref="E23:F23" si="0">E19-E20+E21-E22</f>
        <v>5103.0700000000061</v>
      </c>
      <c r="F23" s="40">
        <f t="shared" si="0"/>
        <v>6003.4400000000051</v>
      </c>
    </row>
    <row r="24" spans="2:6">
      <c r="B24" s="32" t="s">
        <v>77</v>
      </c>
      <c r="C24" s="37">
        <v>1493.5</v>
      </c>
      <c r="D24" s="37">
        <v>1790.08</v>
      </c>
      <c r="E24" s="37">
        <v>1393.36</v>
      </c>
      <c r="F24" s="37">
        <v>1608.75</v>
      </c>
    </row>
    <row r="25" spans="2:6">
      <c r="B25" s="52" t="s">
        <v>78</v>
      </c>
      <c r="C25" s="40">
        <f>C23-C24</f>
        <v>4195.33</v>
      </c>
      <c r="D25" s="40">
        <f>D23-D24</f>
        <v>5557.6900000000023</v>
      </c>
      <c r="E25" s="40">
        <f t="shared" ref="E25:F25" si="1">E23-E24</f>
        <v>3709.7100000000064</v>
      </c>
      <c r="F25" s="40">
        <f t="shared" si="1"/>
        <v>4394.6900000000051</v>
      </c>
    </row>
    <row r="26" spans="2:6">
      <c r="B26" s="32" t="s">
        <v>79</v>
      </c>
      <c r="C26" s="37">
        <v>13.04</v>
      </c>
      <c r="D26" s="37">
        <v>31.96</v>
      </c>
      <c r="E26" s="37">
        <v>114.56</v>
      </c>
      <c r="F26" s="37">
        <v>-27.36</v>
      </c>
    </row>
    <row r="27" spans="2:6">
      <c r="B27" s="52" t="s">
        <v>80</v>
      </c>
      <c r="C27" s="40">
        <f>SUM(C25:C26)</f>
        <v>4208.37</v>
      </c>
      <c r="D27" s="40">
        <f>SUM(D25:D26)</f>
        <v>5589.6500000000024</v>
      </c>
      <c r="E27" s="40">
        <f t="shared" ref="E27:F27" si="2">SUM(E25:E26)</f>
        <v>3824.2700000000063</v>
      </c>
      <c r="F27" s="40">
        <f t="shared" si="2"/>
        <v>4367.3300000000054</v>
      </c>
    </row>
    <row r="28" spans="2:6">
      <c r="B28" s="50"/>
      <c r="C28" s="39"/>
      <c r="D28" s="39"/>
      <c r="E28" s="39"/>
      <c r="F28" s="39"/>
    </row>
    <row r="29" spans="2:6">
      <c r="B29" s="50"/>
      <c r="C29" s="39"/>
      <c r="D29" s="39"/>
      <c r="E29" s="39"/>
      <c r="F29" s="39"/>
    </row>
    <row r="30" spans="2:6">
      <c r="B30" s="50"/>
      <c r="C30" s="39"/>
      <c r="D30" s="39"/>
      <c r="E30" s="39"/>
      <c r="F30" s="39"/>
    </row>
    <row r="31" spans="2:6">
      <c r="B31" s="238" t="s">
        <v>81</v>
      </c>
      <c r="C31" s="239" t="s">
        <v>57</v>
      </c>
      <c r="D31" s="239"/>
      <c r="E31" s="239"/>
      <c r="F31" s="239"/>
    </row>
    <row r="32" spans="2:6">
      <c r="B32" s="240" t="s">
        <v>82</v>
      </c>
      <c r="C32" s="241" t="s">
        <v>59</v>
      </c>
      <c r="D32" s="241" t="s">
        <v>60</v>
      </c>
      <c r="E32" s="241" t="s">
        <v>61</v>
      </c>
      <c r="F32" s="241" t="s">
        <v>62</v>
      </c>
    </row>
    <row r="33" spans="2:6">
      <c r="B33" s="110" t="s">
        <v>83</v>
      </c>
      <c r="C33" s="111"/>
      <c r="D33" s="111"/>
      <c r="E33" s="111"/>
      <c r="F33" s="111"/>
    </row>
    <row r="34" spans="2:6">
      <c r="B34" s="26" t="s">
        <v>84</v>
      </c>
      <c r="C34" s="42"/>
      <c r="D34" s="42"/>
      <c r="E34" s="42"/>
      <c r="F34" s="42"/>
    </row>
    <row r="35" spans="2:6">
      <c r="B35" s="32" t="s">
        <v>85</v>
      </c>
      <c r="C35" s="37">
        <v>4145.6499999999996</v>
      </c>
      <c r="D35" s="37">
        <v>4446.2</v>
      </c>
      <c r="E35" s="37">
        <v>6787.62</v>
      </c>
      <c r="F35" s="37">
        <v>7146.23</v>
      </c>
    </row>
    <row r="36" spans="2:6">
      <c r="B36" s="32" t="s">
        <v>86</v>
      </c>
      <c r="C36" s="37">
        <v>1208.92</v>
      </c>
      <c r="D36" s="37">
        <v>1856.27</v>
      </c>
      <c r="E36" s="37">
        <v>1843.72</v>
      </c>
      <c r="F36" s="37">
        <v>2018.77</v>
      </c>
    </row>
    <row r="37" spans="2:6">
      <c r="B37" s="32" t="s">
        <v>87</v>
      </c>
      <c r="C37" s="37">
        <v>1019.59</v>
      </c>
      <c r="D37" s="37">
        <v>2698.37</v>
      </c>
      <c r="E37" s="37">
        <v>1254.49</v>
      </c>
      <c r="F37" s="37">
        <v>1848.67</v>
      </c>
    </row>
    <row r="38" spans="2:6">
      <c r="B38" s="32" t="s">
        <v>88</v>
      </c>
      <c r="C38" s="37">
        <v>415.89</v>
      </c>
      <c r="D38" s="37">
        <v>844.15</v>
      </c>
      <c r="E38" s="37">
        <v>588.76</v>
      </c>
      <c r="F38" s="37">
        <v>475.28</v>
      </c>
    </row>
    <row r="39" spans="2:6">
      <c r="B39" s="32" t="s">
        <v>89</v>
      </c>
      <c r="C39" s="37">
        <v>1564.71</v>
      </c>
      <c r="D39" s="37">
        <v>1384.51</v>
      </c>
      <c r="E39" s="37">
        <v>1479.79</v>
      </c>
      <c r="F39" s="37">
        <v>775.91</v>
      </c>
    </row>
    <row r="40" spans="2:6">
      <c r="B40" s="32" t="s">
        <v>90</v>
      </c>
      <c r="C40" s="37">
        <v>908.08</v>
      </c>
      <c r="D40" s="37">
        <v>1157.53</v>
      </c>
      <c r="E40" s="37">
        <v>1425.31</v>
      </c>
      <c r="F40" s="43">
        <v>2084.9899999999998</v>
      </c>
    </row>
    <row r="41" spans="2:6">
      <c r="B41" s="27"/>
      <c r="C41" s="37"/>
      <c r="D41" s="37"/>
      <c r="E41" s="37"/>
      <c r="F41" s="37"/>
    </row>
    <row r="42" spans="2:6">
      <c r="B42" s="28" t="s">
        <v>91</v>
      </c>
      <c r="C42" s="44">
        <f>SUM(C35:C40)</f>
        <v>9262.84</v>
      </c>
      <c r="D42" s="44">
        <f>SUM(D35:D40)</f>
        <v>12387.03</v>
      </c>
      <c r="E42" s="44">
        <f>SUM(E35:E40)</f>
        <v>13379.69</v>
      </c>
      <c r="F42" s="44">
        <f>SUM(F35:F40)</f>
        <v>14349.85</v>
      </c>
    </row>
    <row r="43" spans="2:6">
      <c r="B43" s="27"/>
      <c r="C43" s="37"/>
      <c r="D43" s="37"/>
      <c r="E43" s="37"/>
      <c r="F43" s="37"/>
    </row>
    <row r="44" spans="2:6">
      <c r="B44" s="26" t="s">
        <v>92</v>
      </c>
      <c r="C44" s="37"/>
      <c r="D44" s="37"/>
      <c r="E44" s="37"/>
      <c r="F44" s="37"/>
    </row>
    <row r="45" spans="2:6">
      <c r="B45" s="32" t="s">
        <v>93</v>
      </c>
      <c r="C45" s="37">
        <v>6210.64</v>
      </c>
      <c r="D45" s="37">
        <v>5923.41</v>
      </c>
      <c r="E45" s="37">
        <v>6719.27</v>
      </c>
      <c r="F45" s="37">
        <v>5743.69</v>
      </c>
    </row>
    <row r="46" spans="2:6">
      <c r="B46" s="32" t="s">
        <v>94</v>
      </c>
      <c r="C46" s="37">
        <v>4636.9399999999996</v>
      </c>
      <c r="D46" s="37">
        <v>4889.05</v>
      </c>
      <c r="E46" s="37">
        <v>4313.6499999999996</v>
      </c>
      <c r="F46" s="37">
        <v>4461.8</v>
      </c>
    </row>
    <row r="47" spans="2:6">
      <c r="B47" s="32" t="s">
        <v>95</v>
      </c>
      <c r="C47" s="37">
        <v>843.82</v>
      </c>
      <c r="D47" s="37">
        <v>1084.01</v>
      </c>
      <c r="E47" s="37">
        <v>781.98</v>
      </c>
      <c r="F47" s="37">
        <v>1073.68</v>
      </c>
    </row>
    <row r="48" spans="2:6">
      <c r="B48" s="32" t="s">
        <v>96</v>
      </c>
      <c r="C48" s="37">
        <v>2697</v>
      </c>
      <c r="D48" s="37">
        <v>3203.41</v>
      </c>
      <c r="E48" s="37">
        <v>3244.96</v>
      </c>
      <c r="F48" s="37">
        <v>6285.83</v>
      </c>
    </row>
    <row r="49" spans="2:6">
      <c r="B49" s="32" t="s">
        <v>97</v>
      </c>
      <c r="C49" s="37">
        <v>2146.7600000000002</v>
      </c>
      <c r="D49" s="37">
        <v>2437.1799999999998</v>
      </c>
      <c r="E49" s="37">
        <v>1931.82</v>
      </c>
      <c r="F49" s="37">
        <v>2619.64</v>
      </c>
    </row>
    <row r="50" spans="2:6">
      <c r="B50" s="27"/>
      <c r="C50" s="37"/>
      <c r="D50" s="37"/>
      <c r="E50" s="37"/>
      <c r="F50" s="37"/>
    </row>
    <row r="51" spans="2:6">
      <c r="B51" s="28" t="s">
        <v>98</v>
      </c>
      <c r="C51" s="44">
        <f>SUM(C45:C49)</f>
        <v>16535.16</v>
      </c>
      <c r="D51" s="44">
        <f>SUM(D45:D49)</f>
        <v>17537.059999999998</v>
      </c>
      <c r="E51" s="44">
        <f>SUM(E45:E49)</f>
        <v>16991.68</v>
      </c>
      <c r="F51" s="44">
        <f>SUM(F45:F49)</f>
        <v>20184.64</v>
      </c>
    </row>
    <row r="52" spans="2:6">
      <c r="B52" s="50"/>
      <c r="C52" s="39"/>
      <c r="D52" s="39"/>
      <c r="E52" s="39"/>
      <c r="F52" s="39"/>
    </row>
    <row r="53" spans="2:6">
      <c r="B53" s="54" t="s">
        <v>99</v>
      </c>
      <c r="C53" s="38">
        <f>C42+C51</f>
        <v>25798</v>
      </c>
      <c r="D53" s="38">
        <f>D42+D51</f>
        <v>29924.089999999997</v>
      </c>
      <c r="E53" s="38">
        <f>E42+E51</f>
        <v>30371.370000000003</v>
      </c>
      <c r="F53" s="38">
        <f>F42+F51</f>
        <v>34534.49</v>
      </c>
    </row>
    <row r="54" spans="2:6">
      <c r="B54" s="50"/>
      <c r="C54" s="39"/>
      <c r="D54" s="39"/>
      <c r="E54" s="39"/>
      <c r="F54" s="39"/>
    </row>
    <row r="55" spans="2:6">
      <c r="B55" s="51" t="s">
        <v>100</v>
      </c>
      <c r="C55" s="39"/>
      <c r="D55" s="39"/>
      <c r="E55" s="39"/>
      <c r="F55" s="39"/>
    </row>
    <row r="56" spans="2:6">
      <c r="B56" s="51" t="s">
        <v>101</v>
      </c>
      <c r="C56" s="39"/>
      <c r="D56" s="39"/>
      <c r="E56" s="39"/>
      <c r="F56" s="39"/>
    </row>
    <row r="57" spans="2:6">
      <c r="B57" s="32" t="s">
        <v>102</v>
      </c>
      <c r="C57" s="37">
        <v>15992.23</v>
      </c>
      <c r="D57" s="37">
        <v>18728.3</v>
      </c>
      <c r="E57" s="37">
        <v>19399.810000000001</v>
      </c>
      <c r="F57" s="37">
        <v>21371.59</v>
      </c>
    </row>
    <row r="58" spans="2:6">
      <c r="B58" s="36" t="s">
        <v>103</v>
      </c>
      <c r="C58" s="38">
        <v>453.66</v>
      </c>
      <c r="D58" s="38">
        <v>695.38</v>
      </c>
      <c r="E58" s="38">
        <v>659.24</v>
      </c>
      <c r="F58" s="38">
        <v>643.39</v>
      </c>
    </row>
    <row r="59" spans="2:6">
      <c r="B59" s="55" t="s">
        <v>104</v>
      </c>
      <c r="C59" s="44">
        <f>SUM(C57:C58)</f>
        <v>16445.89</v>
      </c>
      <c r="D59" s="44">
        <f>SUM(D57:D58)</f>
        <v>19423.68</v>
      </c>
      <c r="E59" s="44">
        <f>SUM(E57:E58)</f>
        <v>20059.050000000003</v>
      </c>
      <c r="F59" s="44">
        <f>SUM(F57:F58)</f>
        <v>22014.98</v>
      </c>
    </row>
    <row r="60" spans="2:6">
      <c r="B60" s="50"/>
      <c r="C60" s="37"/>
      <c r="D60" s="37"/>
      <c r="E60" s="37"/>
      <c r="F60" s="37"/>
    </row>
    <row r="61" spans="2:6">
      <c r="B61" s="51" t="s">
        <v>105</v>
      </c>
      <c r="C61" s="37"/>
      <c r="D61" s="37"/>
      <c r="E61" s="37"/>
      <c r="F61" s="37"/>
    </row>
    <row r="62" spans="2:6">
      <c r="B62" s="51" t="s">
        <v>106</v>
      </c>
      <c r="C62" s="37"/>
      <c r="D62" s="37"/>
      <c r="E62" s="37"/>
      <c r="F62" s="37"/>
    </row>
    <row r="63" spans="2:6">
      <c r="B63" s="32" t="s">
        <v>107</v>
      </c>
      <c r="C63" s="37">
        <v>76.150000000000006</v>
      </c>
      <c r="D63" s="37">
        <v>54.38</v>
      </c>
      <c r="E63" s="37">
        <v>259.62</v>
      </c>
      <c r="F63" s="37">
        <v>1247.17</v>
      </c>
    </row>
    <row r="64" spans="2:6">
      <c r="B64" s="32" t="s">
        <v>108</v>
      </c>
      <c r="C64" s="37">
        <v>728.94</v>
      </c>
      <c r="D64" s="37">
        <v>1095.29</v>
      </c>
      <c r="E64" s="37">
        <v>1123.3</v>
      </c>
      <c r="F64" s="37">
        <v>1306.94</v>
      </c>
    </row>
    <row r="65" spans="2:6">
      <c r="B65" s="34" t="s">
        <v>109</v>
      </c>
      <c r="C65" s="37">
        <v>334.84</v>
      </c>
      <c r="D65" s="37">
        <v>352.17</v>
      </c>
      <c r="E65" s="37">
        <v>404.91</v>
      </c>
      <c r="F65" s="37">
        <v>403.26</v>
      </c>
    </row>
    <row r="66" spans="2:6">
      <c r="B66" s="33" t="s">
        <v>110</v>
      </c>
      <c r="C66" s="37">
        <v>316.25</v>
      </c>
      <c r="D66" s="37">
        <v>497.61</v>
      </c>
      <c r="E66" s="37">
        <v>383.26</v>
      </c>
      <c r="F66" s="37">
        <v>425.11</v>
      </c>
    </row>
    <row r="67" spans="2:6">
      <c r="B67" s="29" t="s">
        <v>111</v>
      </c>
      <c r="C67" s="44">
        <f>SUM(C63:C66)</f>
        <v>1456.18</v>
      </c>
      <c r="D67" s="44">
        <f>SUM(D63:D66)</f>
        <v>1999.4500000000003</v>
      </c>
      <c r="E67" s="44">
        <f>SUM(E63:E66)</f>
        <v>2171.09</v>
      </c>
      <c r="F67" s="44">
        <f>SUM(F63:F66)</f>
        <v>3382.48</v>
      </c>
    </row>
    <row r="68" spans="2:6">
      <c r="B68" s="50"/>
      <c r="C68" s="37"/>
      <c r="D68" s="37"/>
      <c r="E68" s="37"/>
      <c r="F68" s="37"/>
    </row>
    <row r="69" spans="2:6">
      <c r="B69" s="51" t="s">
        <v>112</v>
      </c>
      <c r="C69" s="37"/>
      <c r="D69" s="37"/>
      <c r="E69" s="37"/>
      <c r="F69" s="37"/>
    </row>
    <row r="70" spans="2:6">
      <c r="B70" s="32" t="s">
        <v>113</v>
      </c>
      <c r="C70" s="37">
        <v>896.06</v>
      </c>
      <c r="D70" s="37">
        <v>1052.76</v>
      </c>
      <c r="E70" s="37">
        <v>604.13</v>
      </c>
      <c r="F70" s="37">
        <v>1046.0899999999999</v>
      </c>
    </row>
    <row r="71" spans="2:6">
      <c r="B71" s="32" t="s">
        <v>114</v>
      </c>
      <c r="C71" s="37">
        <v>3635.44</v>
      </c>
      <c r="D71" s="37">
        <v>3831.34</v>
      </c>
      <c r="E71" s="37">
        <v>3848</v>
      </c>
      <c r="F71" s="37">
        <v>3863.04</v>
      </c>
    </row>
    <row r="72" spans="2:6">
      <c r="B72" s="32" t="s">
        <v>115</v>
      </c>
      <c r="C72" s="37">
        <v>231.47</v>
      </c>
      <c r="D72" s="37">
        <v>271.95</v>
      </c>
      <c r="E72" s="37">
        <v>303.24</v>
      </c>
      <c r="F72" s="37">
        <v>328.73</v>
      </c>
    </row>
    <row r="73" spans="2:6">
      <c r="B73" s="32" t="s">
        <v>116</v>
      </c>
      <c r="C73" s="37">
        <v>163.69</v>
      </c>
      <c r="D73" s="37">
        <v>122.51</v>
      </c>
      <c r="E73" s="37">
        <v>126.09</v>
      </c>
      <c r="F73" s="37">
        <v>180.01</v>
      </c>
    </row>
    <row r="74" spans="2:6">
      <c r="B74" s="33" t="s">
        <v>117</v>
      </c>
      <c r="C74" s="37">
        <v>2969.27</v>
      </c>
      <c r="D74" s="37">
        <v>3222.4</v>
      </c>
      <c r="E74" s="37">
        <v>3259.77</v>
      </c>
      <c r="F74" s="37">
        <v>3719.16</v>
      </c>
    </row>
    <row r="75" spans="2:6">
      <c r="B75" s="29" t="s">
        <v>118</v>
      </c>
      <c r="C75" s="44">
        <f>SUM(C70:C74)</f>
        <v>7895.93</v>
      </c>
      <c r="D75" s="44">
        <f>SUM(D70:D74)</f>
        <v>8500.9600000000009</v>
      </c>
      <c r="E75" s="44">
        <f>SUM(E70:E74)</f>
        <v>8141.23</v>
      </c>
      <c r="F75" s="44">
        <f>SUM(F70:F74)</f>
        <v>9137.0300000000007</v>
      </c>
    </row>
    <row r="76" spans="2:6">
      <c r="B76" s="50"/>
      <c r="C76" s="39"/>
      <c r="D76" s="39"/>
      <c r="E76" s="39"/>
      <c r="F76" s="39"/>
    </row>
    <row r="77" spans="2:6">
      <c r="B77" s="112" t="s">
        <v>119</v>
      </c>
      <c r="C77" s="113">
        <f>C59+C67+C75</f>
        <v>25798</v>
      </c>
      <c r="D77" s="113">
        <f t="shared" ref="D77:F77" si="3">D59+D67+D75</f>
        <v>29924.090000000004</v>
      </c>
      <c r="E77" s="113">
        <f t="shared" si="3"/>
        <v>30371.370000000003</v>
      </c>
      <c r="F77" s="113">
        <f t="shared" si="3"/>
        <v>34534.49</v>
      </c>
    </row>
    <row r="78" spans="2:6">
      <c r="B78" s="50"/>
      <c r="C78" s="39"/>
      <c r="D78" s="39"/>
      <c r="E78" s="39"/>
      <c r="F78" s="39"/>
    </row>
    <row r="79" spans="2:6">
      <c r="B79" s="56" t="s">
        <v>120</v>
      </c>
      <c r="C79" s="45">
        <f>ROUND(C53-C77,6)</f>
        <v>0</v>
      </c>
      <c r="D79" s="45">
        <f t="shared" ref="D79:F79" si="4">ROUND(D53-D77,6)</f>
        <v>0</v>
      </c>
      <c r="E79" s="45">
        <f t="shared" si="4"/>
        <v>0</v>
      </c>
      <c r="F79" s="45">
        <f t="shared" si="4"/>
        <v>0</v>
      </c>
    </row>
    <row r="80" spans="2:6">
      <c r="B80" s="50"/>
      <c r="C80" s="39"/>
      <c r="D80" s="39"/>
      <c r="E80" s="39"/>
      <c r="F80" s="39"/>
    </row>
    <row r="81" spans="2:6">
      <c r="B81" s="50"/>
      <c r="C81" s="39"/>
      <c r="D81" s="39"/>
      <c r="E81" s="39"/>
      <c r="F81" s="39"/>
    </row>
    <row r="82" spans="2:6">
      <c r="B82" s="235" t="s">
        <v>121</v>
      </c>
      <c r="C82" s="237" t="s">
        <v>57</v>
      </c>
      <c r="D82" s="237"/>
      <c r="E82" s="237"/>
      <c r="F82" s="237"/>
    </row>
    <row r="83" spans="2:6">
      <c r="B83" s="107" t="s">
        <v>122</v>
      </c>
      <c r="C83" s="114" t="s">
        <v>59</v>
      </c>
      <c r="D83" s="114" t="s">
        <v>60</v>
      </c>
      <c r="E83" s="114" t="s">
        <v>61</v>
      </c>
      <c r="F83" s="114" t="s">
        <v>62</v>
      </c>
    </row>
    <row r="84" spans="2:6">
      <c r="B84" s="35" t="s">
        <v>123</v>
      </c>
      <c r="C84" s="39"/>
      <c r="D84" s="39"/>
      <c r="E84" s="39"/>
      <c r="F84" s="39"/>
    </row>
    <row r="85" spans="2:6">
      <c r="B85" s="51" t="s">
        <v>124</v>
      </c>
      <c r="C85" s="242">
        <f>C23</f>
        <v>5688.83</v>
      </c>
      <c r="D85" s="242">
        <f>D23</f>
        <v>7347.7700000000023</v>
      </c>
      <c r="E85" s="242">
        <f t="shared" ref="E85:F85" si="5">E23</f>
        <v>5103.0700000000061</v>
      </c>
      <c r="F85" s="242">
        <f t="shared" si="5"/>
        <v>6003.4400000000051</v>
      </c>
    </row>
    <row r="86" spans="2:6">
      <c r="B86" s="35" t="s">
        <v>125</v>
      </c>
      <c r="C86" s="39"/>
      <c r="D86" s="37"/>
      <c r="E86" s="37"/>
      <c r="F86" s="37"/>
    </row>
    <row r="87" spans="2:6">
      <c r="B87" s="33" t="s">
        <v>126</v>
      </c>
      <c r="C87" s="37">
        <v>858.02</v>
      </c>
      <c r="D87" s="37">
        <v>853</v>
      </c>
      <c r="E87" s="37">
        <v>1026.3399999999999</v>
      </c>
      <c r="F87" s="37">
        <v>1228.8499999999999</v>
      </c>
    </row>
    <row r="88" spans="2:6">
      <c r="B88" s="33" t="s">
        <v>127</v>
      </c>
      <c r="C88" s="37">
        <v>144.44999999999999</v>
      </c>
      <c r="D88" s="37">
        <v>205.17</v>
      </c>
      <c r="E88" s="37">
        <v>227.02</v>
      </c>
      <c r="F88" s="37">
        <v>195.41</v>
      </c>
    </row>
    <row r="89" spans="2:6">
      <c r="B89" s="33" t="s">
        <v>128</v>
      </c>
      <c r="C89" s="37">
        <v>-231.48</v>
      </c>
      <c r="D89" s="37">
        <v>-477.34</v>
      </c>
      <c r="E89" s="37">
        <v>33.229999999999997</v>
      </c>
      <c r="F89" s="37">
        <v>-241.42</v>
      </c>
    </row>
    <row r="90" spans="2:6">
      <c r="B90" s="55" t="s">
        <v>129</v>
      </c>
      <c r="C90" s="46">
        <f>SUM(C85:C89)</f>
        <v>6459.8200000000006</v>
      </c>
      <c r="D90" s="46">
        <f>SUM(D85:D89)</f>
        <v>7928.6000000000022</v>
      </c>
      <c r="E90" s="46">
        <f>SUM(E85:E89)</f>
        <v>6389.6600000000062</v>
      </c>
      <c r="F90" s="46">
        <f>SUM(F85:F89)</f>
        <v>7186.2800000000043</v>
      </c>
    </row>
    <row r="91" spans="2:6">
      <c r="B91" s="33" t="s">
        <v>130</v>
      </c>
      <c r="C91" s="37">
        <v>-833.94</v>
      </c>
      <c r="D91" s="37">
        <v>-361.89</v>
      </c>
      <c r="E91" s="37">
        <v>281.8</v>
      </c>
      <c r="F91" s="37">
        <v>-274.01</v>
      </c>
    </row>
    <row r="92" spans="2:6">
      <c r="B92" s="33" t="s">
        <v>131</v>
      </c>
      <c r="C92" s="37">
        <v>-55.98</v>
      </c>
      <c r="D92" s="37">
        <v>314.94</v>
      </c>
      <c r="E92" s="37">
        <v>-805.34</v>
      </c>
      <c r="F92" s="37">
        <v>975.58</v>
      </c>
    </row>
    <row r="93" spans="2:6">
      <c r="B93" s="33" t="s">
        <v>132</v>
      </c>
      <c r="C93" s="37">
        <v>156.75</v>
      </c>
      <c r="D93" s="37">
        <v>23.12</v>
      </c>
      <c r="E93" s="37">
        <v>6.71</v>
      </c>
      <c r="F93" s="37">
        <v>-65.31</v>
      </c>
    </row>
    <row r="94" spans="2:6">
      <c r="B94" s="36" t="s">
        <v>133</v>
      </c>
      <c r="C94" s="38">
        <v>-110.04</v>
      </c>
      <c r="D94" s="38">
        <v>-260.89</v>
      </c>
      <c r="E94" s="38">
        <v>1.71</v>
      </c>
      <c r="F94" s="38">
        <v>-86.1</v>
      </c>
    </row>
    <row r="95" spans="2:6">
      <c r="B95" s="33" t="s">
        <v>134</v>
      </c>
      <c r="C95" s="37">
        <v>-538.97</v>
      </c>
      <c r="D95" s="37">
        <v>268.58</v>
      </c>
      <c r="E95" s="37">
        <v>-160.41</v>
      </c>
      <c r="F95" s="37">
        <v>396.07</v>
      </c>
    </row>
    <row r="96" spans="2:6">
      <c r="B96" s="33" t="s">
        <v>135</v>
      </c>
      <c r="C96" s="37">
        <v>441.1</v>
      </c>
      <c r="D96" s="37">
        <v>16.399999999999999</v>
      </c>
      <c r="E96" s="37">
        <v>82.56</v>
      </c>
      <c r="F96" s="37">
        <v>386.79</v>
      </c>
    </row>
    <row r="97" spans="2:6">
      <c r="B97" s="33" t="s">
        <v>136</v>
      </c>
      <c r="C97" s="37">
        <v>85.64</v>
      </c>
      <c r="D97" s="37">
        <v>9.7899999999999991</v>
      </c>
      <c r="E97" s="37">
        <v>22.79</v>
      </c>
      <c r="F97" s="37">
        <v>142.69999999999999</v>
      </c>
    </row>
    <row r="98" spans="2:6">
      <c r="B98" s="33" t="s">
        <v>137</v>
      </c>
      <c r="C98" s="37">
        <v>83.33</v>
      </c>
      <c r="D98" s="37">
        <v>0</v>
      </c>
      <c r="E98" s="37">
        <v>0</v>
      </c>
      <c r="F98" s="37">
        <v>0</v>
      </c>
    </row>
    <row r="99" spans="2:6">
      <c r="B99" s="55" t="s">
        <v>138</v>
      </c>
      <c r="C99" s="47">
        <f>SUM(C90:C98)</f>
        <v>5687.7100000000019</v>
      </c>
      <c r="D99" s="47">
        <f>SUM(D90:D98)</f>
        <v>7938.6500000000005</v>
      </c>
      <c r="E99" s="47">
        <f t="shared" ref="E99:F99" si="6">SUM(E90:E98)</f>
        <v>5819.4800000000068</v>
      </c>
      <c r="F99" s="47">
        <f t="shared" si="6"/>
        <v>8662.0000000000036</v>
      </c>
    </row>
    <row r="100" spans="2:6">
      <c r="B100" s="36" t="s">
        <v>139</v>
      </c>
      <c r="C100" s="38">
        <v>-1494.28</v>
      </c>
      <c r="D100" s="38">
        <v>-1835.05</v>
      </c>
      <c r="E100" s="38">
        <v>-1395.52</v>
      </c>
      <c r="F100" s="38">
        <v>-1573.82</v>
      </c>
    </row>
    <row r="101" spans="2:6">
      <c r="B101" s="57" t="s">
        <v>140</v>
      </c>
      <c r="C101" s="44">
        <f>SUM(C99:C100)</f>
        <v>4193.4300000000021</v>
      </c>
      <c r="D101" s="44">
        <f>SUM(D99:D100)</f>
        <v>6103.6</v>
      </c>
      <c r="E101" s="44">
        <f t="shared" ref="E101:F101" si="7">SUM(E99:E100)</f>
        <v>4423.9600000000064</v>
      </c>
      <c r="F101" s="44">
        <f t="shared" si="7"/>
        <v>7088.1800000000039</v>
      </c>
    </row>
    <row r="102" spans="2:6">
      <c r="B102" s="50"/>
      <c r="C102" s="39"/>
      <c r="D102" s="39"/>
      <c r="E102" s="39"/>
      <c r="F102" s="39"/>
    </row>
    <row r="103" spans="2:6">
      <c r="B103" s="36" t="s">
        <v>141</v>
      </c>
      <c r="C103" s="48"/>
      <c r="D103" s="48"/>
      <c r="E103" s="48"/>
      <c r="F103" s="49"/>
    </row>
    <row r="104" spans="2:6">
      <c r="B104" s="33" t="s">
        <v>142</v>
      </c>
      <c r="C104" s="37">
        <v>-1273.3699999999999</v>
      </c>
      <c r="D104" s="37">
        <v>-2199.0100000000002</v>
      </c>
      <c r="E104" s="37">
        <v>-2056.4</v>
      </c>
      <c r="F104" s="37">
        <v>-1675.69</v>
      </c>
    </row>
    <row r="105" spans="2:6">
      <c r="B105" s="33" t="s">
        <v>143</v>
      </c>
      <c r="C105" s="37">
        <v>25.92</v>
      </c>
      <c r="D105" s="37">
        <v>5.13</v>
      </c>
      <c r="E105" s="37">
        <v>28.53</v>
      </c>
      <c r="F105" s="37">
        <v>27.65</v>
      </c>
    </row>
    <row r="106" spans="2:6">
      <c r="B106" s="33" t="s">
        <v>144</v>
      </c>
      <c r="C106" s="37">
        <v>-172.24</v>
      </c>
      <c r="D106" s="37">
        <v>-297.07</v>
      </c>
      <c r="E106" s="37">
        <v>-201.27</v>
      </c>
      <c r="F106" s="37">
        <v>-221.73</v>
      </c>
    </row>
    <row r="107" spans="2:6">
      <c r="B107" s="33" t="s">
        <v>145</v>
      </c>
      <c r="C107" s="37">
        <v>-146.07</v>
      </c>
      <c r="D107" s="37">
        <v>-212.24</v>
      </c>
      <c r="E107" s="37">
        <v>-214.39</v>
      </c>
      <c r="F107" s="37">
        <v>-18.149999999999999</v>
      </c>
    </row>
    <row r="108" spans="2:6">
      <c r="B108" s="33" t="s">
        <v>146</v>
      </c>
      <c r="C108" s="37">
        <v>376.61</v>
      </c>
      <c r="D108" s="37">
        <v>0.5</v>
      </c>
      <c r="E108" s="37">
        <v>0.16</v>
      </c>
      <c r="F108" s="37">
        <v>0.81</v>
      </c>
    </row>
    <row r="109" spans="2:6">
      <c r="B109" s="33" t="s">
        <v>147</v>
      </c>
      <c r="C109" s="37">
        <v>69.430000000000007</v>
      </c>
      <c r="D109" s="37">
        <v>239.99</v>
      </c>
      <c r="E109" s="37">
        <v>102.84</v>
      </c>
      <c r="F109" s="37">
        <v>269.8</v>
      </c>
    </row>
    <row r="110" spans="2:6">
      <c r="B110" s="36" t="s">
        <v>148</v>
      </c>
      <c r="C110" s="38">
        <v>-118.71</v>
      </c>
      <c r="D110" s="38">
        <v>-206.25</v>
      </c>
      <c r="E110" s="38">
        <v>-521.84</v>
      </c>
      <c r="F110" s="38">
        <v>-355.88</v>
      </c>
    </row>
    <row r="111" spans="2:6">
      <c r="B111" s="33" t="s">
        <v>149</v>
      </c>
      <c r="C111" s="37">
        <v>-179.62</v>
      </c>
      <c r="D111" s="37" t="s">
        <v>150</v>
      </c>
      <c r="E111" s="37" t="s">
        <v>150</v>
      </c>
      <c r="F111" s="37" t="s">
        <v>150</v>
      </c>
    </row>
    <row r="112" spans="2:6">
      <c r="B112" s="36" t="s">
        <v>151</v>
      </c>
      <c r="C112" s="38" t="s">
        <v>150</v>
      </c>
      <c r="D112" s="38">
        <v>-75</v>
      </c>
      <c r="E112" s="38">
        <v>-24.71</v>
      </c>
      <c r="F112" s="38">
        <v>-21.36</v>
      </c>
    </row>
    <row r="113" spans="2:6">
      <c r="B113" s="33" t="s">
        <v>152</v>
      </c>
      <c r="C113" s="37" t="s">
        <v>150</v>
      </c>
      <c r="D113" s="37">
        <v>-37.71</v>
      </c>
      <c r="E113" s="37">
        <v>-40.479999999999997</v>
      </c>
      <c r="F113" s="37">
        <v>-2.78</v>
      </c>
    </row>
    <row r="114" spans="2:6">
      <c r="B114" s="33" t="s">
        <v>153</v>
      </c>
      <c r="C114" s="37">
        <v>87.15</v>
      </c>
      <c r="D114" s="37">
        <v>135.49</v>
      </c>
      <c r="E114" s="37">
        <v>163.78</v>
      </c>
      <c r="F114" s="37">
        <v>185.05</v>
      </c>
    </row>
    <row r="115" spans="2:6">
      <c r="B115" s="33" t="s">
        <v>154</v>
      </c>
      <c r="C115" s="37">
        <v>42.78</v>
      </c>
      <c r="D115" s="37">
        <v>108.37</v>
      </c>
      <c r="E115" s="37">
        <v>113.82</v>
      </c>
      <c r="F115" s="37">
        <v>149.03</v>
      </c>
    </row>
    <row r="116" spans="2:6">
      <c r="B116" s="33" t="s">
        <v>155</v>
      </c>
      <c r="C116" s="37">
        <v>13.48</v>
      </c>
      <c r="D116" s="37">
        <v>20.170000000000002</v>
      </c>
      <c r="E116" s="37">
        <v>20.64</v>
      </c>
      <c r="F116" s="37">
        <v>2.13</v>
      </c>
    </row>
    <row r="117" spans="2:6">
      <c r="B117" s="58" t="s">
        <v>156</v>
      </c>
      <c r="C117" s="38">
        <f>SUM(C104:C116)</f>
        <v>-1274.6399999999996</v>
      </c>
      <c r="D117" s="38">
        <f>SUM(D104:D116)</f>
        <v>-2517.630000000001</v>
      </c>
      <c r="E117" s="38">
        <f>SUM(E104:E116)</f>
        <v>-2629.32</v>
      </c>
      <c r="F117" s="38">
        <f>SUM(F104:F116)</f>
        <v>-1661.12</v>
      </c>
    </row>
    <row r="118" spans="2:6">
      <c r="B118" s="50"/>
      <c r="C118" s="39"/>
      <c r="D118" s="39"/>
      <c r="E118" s="39"/>
      <c r="F118" s="39"/>
    </row>
    <row r="119" spans="2:6">
      <c r="B119" s="35" t="s">
        <v>157</v>
      </c>
      <c r="C119" s="39"/>
      <c r="D119" s="39"/>
      <c r="E119" s="39"/>
      <c r="F119" s="39"/>
    </row>
    <row r="120" spans="2:6">
      <c r="B120" s="33" t="s">
        <v>158</v>
      </c>
      <c r="C120" s="37">
        <v>229.24</v>
      </c>
      <c r="D120" s="37">
        <v>3.07</v>
      </c>
      <c r="E120" s="37">
        <v>62.67</v>
      </c>
      <c r="F120" s="37">
        <v>-14.45</v>
      </c>
    </row>
    <row r="121" spans="2:6" ht="16.5">
      <c r="B121" s="3" t="s">
        <v>159</v>
      </c>
      <c r="C121" s="1">
        <v>-255.72</v>
      </c>
      <c r="D121" s="1">
        <v>-285.63</v>
      </c>
      <c r="E121" s="1">
        <v>-258.97000000000003</v>
      </c>
      <c r="F121" s="1">
        <v>-293.7</v>
      </c>
    </row>
    <row r="122" spans="2:6" ht="16.5">
      <c r="B122" s="3" t="s">
        <v>160</v>
      </c>
      <c r="C122" s="1">
        <v>-141.94999999999999</v>
      </c>
      <c r="D122" s="1">
        <v>-190.57</v>
      </c>
      <c r="E122" s="1">
        <v>-227.31</v>
      </c>
      <c r="F122" s="1">
        <v>-200.75</v>
      </c>
    </row>
    <row r="123" spans="2:6" ht="16.5">
      <c r="B123" s="3" t="s">
        <v>161</v>
      </c>
      <c r="C123" s="1">
        <v>-1971.62</v>
      </c>
      <c r="D123" s="1">
        <v>-2509.37</v>
      </c>
      <c r="E123" s="1">
        <v>-3194.64</v>
      </c>
      <c r="F123" s="1">
        <v>-3166.52</v>
      </c>
    </row>
    <row r="124" spans="2:6" ht="16.5">
      <c r="B124" s="4" t="s">
        <v>162</v>
      </c>
      <c r="C124" s="2">
        <f>SUM(C120:C123)</f>
        <v>-2140.0499999999997</v>
      </c>
      <c r="D124" s="2">
        <f t="shared" ref="D124:F124" si="8">SUM(D120:D123)</f>
        <v>-2982.5</v>
      </c>
      <c r="E124" s="2">
        <f t="shared" si="8"/>
        <v>-3618.25</v>
      </c>
      <c r="F124" s="2">
        <f t="shared" si="8"/>
        <v>-3675.42</v>
      </c>
    </row>
    <row r="125" spans="2:6" ht="16.5">
      <c r="B125" s="3"/>
    </row>
    <row r="126" spans="2:6" ht="16.5">
      <c r="B126" s="3"/>
    </row>
    <row r="127" spans="2:6" ht="16.5">
      <c r="B127" s="3"/>
    </row>
  </sheetData>
  <mergeCells count="5">
    <mergeCell ref="C31:F31"/>
    <mergeCell ref="C5:F5"/>
    <mergeCell ref="C82:F82"/>
    <mergeCell ref="B2:F2"/>
    <mergeCell ref="B3: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115"/>
  <sheetViews>
    <sheetView showGridLines="0" topLeftCell="A103" workbookViewId="0">
      <selection activeCell="H119" sqref="H119"/>
    </sheetView>
  </sheetViews>
  <sheetFormatPr defaultRowHeight="15"/>
  <cols>
    <col min="1" max="1" width="3.28515625" customWidth="1"/>
    <col min="2" max="2" width="43" customWidth="1"/>
    <col min="3" max="8" width="15" customWidth="1"/>
    <col min="9" max="9" width="14.28515625" customWidth="1"/>
    <col min="10" max="10" width="14.42578125" customWidth="1"/>
    <col min="11" max="11" width="12.85546875" customWidth="1"/>
    <col min="12" max="12" width="22.7109375" customWidth="1"/>
    <col min="13" max="13" width="27.28515625" customWidth="1"/>
    <col min="14" max="14" width="12.85546875" customWidth="1"/>
  </cols>
  <sheetData>
    <row r="1" spans="2:8">
      <c r="B1" s="50"/>
      <c r="C1" s="30"/>
      <c r="D1" s="30"/>
      <c r="E1" s="30"/>
      <c r="F1" s="30"/>
      <c r="G1" s="30"/>
      <c r="H1" s="30"/>
    </row>
    <row r="2" spans="2:8" ht="18">
      <c r="B2" s="227"/>
      <c r="C2" s="230"/>
      <c r="D2" s="229" t="s">
        <v>163</v>
      </c>
      <c r="E2" s="229"/>
      <c r="F2" s="229"/>
      <c r="G2" s="229"/>
      <c r="H2" s="229"/>
    </row>
    <row r="3" spans="2:8">
      <c r="B3" s="228" t="s">
        <v>58</v>
      </c>
      <c r="C3" s="108" t="s">
        <v>62</v>
      </c>
      <c r="D3" s="115" t="s">
        <v>164</v>
      </c>
      <c r="E3" s="115" t="s">
        <v>165</v>
      </c>
      <c r="F3" s="115" t="s">
        <v>166</v>
      </c>
      <c r="G3" s="115" t="s">
        <v>167</v>
      </c>
      <c r="H3" s="115" t="s">
        <v>168</v>
      </c>
    </row>
    <row r="4" spans="2:8">
      <c r="B4" s="116"/>
      <c r="C4" s="117"/>
      <c r="D4" s="118"/>
      <c r="E4" s="118"/>
      <c r="F4" s="118"/>
      <c r="G4" s="118"/>
      <c r="H4" s="118"/>
    </row>
    <row r="5" spans="2:8">
      <c r="B5" s="119" t="s">
        <v>169</v>
      </c>
      <c r="C5" s="120">
        <f>'Historical data'!F7</f>
        <v>35583.54</v>
      </c>
      <c r="D5" s="121">
        <f>C5*(1+'Assumptions and Drivers'!C3)</f>
        <v>38963.976300000002</v>
      </c>
      <c r="E5" s="121">
        <f>D5*(1+'Assumptions and Drivers'!D3)</f>
        <v>42665.554048500002</v>
      </c>
      <c r="F5" s="121">
        <f>E5*(1+'Assumptions and Drivers'!E3)</f>
        <v>46505.453912865007</v>
      </c>
      <c r="G5" s="121">
        <f>F5*(1+'Assumptions and Drivers'!F3)</f>
        <v>50458.417495458532</v>
      </c>
      <c r="H5" s="121">
        <f>G5*(1+'Assumptions and Drivers'!G3)</f>
        <v>54495.090895095222</v>
      </c>
    </row>
    <row r="6" spans="2:8">
      <c r="B6" s="122" t="s">
        <v>9</v>
      </c>
      <c r="C6" s="123">
        <f>'Historical data'!F8</f>
        <v>723.8</v>
      </c>
      <c r="D6" s="124">
        <f>C6*(1+'Assumptions and Drivers'!C4)</f>
        <v>734.65699999999993</v>
      </c>
      <c r="E6" s="124">
        <f>D6*(1+'Assumptions and Drivers'!D4)</f>
        <v>745.67685499999982</v>
      </c>
      <c r="F6" s="124">
        <f>E6*(1+'Assumptions and Drivers'!E4)</f>
        <v>756.86200782499975</v>
      </c>
      <c r="G6" s="124">
        <f>F6*(1+'Assumptions and Drivers'!F4)</f>
        <v>768.21493794237472</v>
      </c>
      <c r="H6" s="124">
        <f>G6*(1+'Assumptions and Drivers'!G4)</f>
        <v>779.73816201151021</v>
      </c>
    </row>
    <row r="7" spans="2:8">
      <c r="B7" s="125" t="s">
        <v>64</v>
      </c>
      <c r="C7" s="126">
        <f>SUM(C5:C6)</f>
        <v>36307.340000000004</v>
      </c>
      <c r="D7" s="126">
        <f t="shared" ref="D7:H7" si="0">SUM(D5:D6)</f>
        <v>39698.633300000001</v>
      </c>
      <c r="E7" s="126">
        <f t="shared" si="0"/>
        <v>43411.2309035</v>
      </c>
      <c r="F7" s="126">
        <f t="shared" si="0"/>
        <v>47262.315920690009</v>
      </c>
      <c r="G7" s="126">
        <f t="shared" si="0"/>
        <v>51226.632433400904</v>
      </c>
      <c r="H7" s="126">
        <f t="shared" si="0"/>
        <v>55274.829057106734</v>
      </c>
    </row>
    <row r="8" spans="2:8">
      <c r="B8" s="119"/>
      <c r="C8" s="127"/>
      <c r="D8" s="118"/>
      <c r="E8" s="118"/>
      <c r="F8" s="118"/>
      <c r="G8" s="118"/>
      <c r="H8" s="118"/>
    </row>
    <row r="9" spans="2:8">
      <c r="B9" s="119" t="s">
        <v>65</v>
      </c>
      <c r="C9" s="127"/>
      <c r="D9" s="118"/>
      <c r="E9" s="118"/>
      <c r="F9" s="118"/>
      <c r="G9" s="118"/>
      <c r="H9" s="118"/>
    </row>
    <row r="10" spans="2:8">
      <c r="B10" s="32" t="s">
        <v>66</v>
      </c>
      <c r="C10" s="37">
        <f>'Historical data'!F12</f>
        <v>20001.78</v>
      </c>
      <c r="D10" s="37">
        <f>D5*(1-'Assumptions and Drivers'!C7)</f>
        <v>22209.466491000003</v>
      </c>
      <c r="E10" s="37">
        <f>E5*(1-'Assumptions and Drivers'!D7)</f>
        <v>24234.034699548003</v>
      </c>
      <c r="F10" s="37">
        <f>F5*(1-'Assumptions and Drivers'!E7)</f>
        <v>26368.592368594458</v>
      </c>
      <c r="G10" s="37">
        <f>G5*(1-'Assumptions and Drivers'!F7)</f>
        <v>28509.005884934068</v>
      </c>
      <c r="H10" s="37">
        <f>H5*(1-'Assumptions and Drivers'!G7)</f>
        <v>30789.726355728799</v>
      </c>
    </row>
    <row r="11" spans="2:8">
      <c r="B11" s="122" t="s">
        <v>170</v>
      </c>
      <c r="C11" s="120">
        <f>'Historical data'!F13</f>
        <v>2799.59</v>
      </c>
      <c r="D11" s="121">
        <f>D5*'Assumptions and Drivers'!C8</f>
        <v>2922.2982225000001</v>
      </c>
      <c r="E11" s="121">
        <f>E5*'Assumptions and Drivers'!D8</f>
        <v>3199.9165536374999</v>
      </c>
      <c r="F11" s="121">
        <f>F5*'Assumptions and Drivers'!E8</f>
        <v>3394.8981356391455</v>
      </c>
      <c r="G11" s="121">
        <f>G5*'Assumptions and Drivers'!F8</f>
        <v>3532.0892246820977</v>
      </c>
      <c r="H11" s="121">
        <f>H5*'Assumptions and Drivers'!G8</f>
        <v>3814.6563626566658</v>
      </c>
    </row>
    <row r="12" spans="2:8">
      <c r="B12" s="122" t="s">
        <v>171</v>
      </c>
      <c r="C12" s="120">
        <f>'Historical data'!F14</f>
        <v>6086.25</v>
      </c>
      <c r="D12" s="121">
        <f>D5*'Assumptions and Drivers'!C9</f>
        <v>6623.8759710000004</v>
      </c>
      <c r="E12" s="121">
        <f>E5*'Assumptions and Drivers'!D9</f>
        <v>7253.1441882450008</v>
      </c>
      <c r="F12" s="121">
        <f>F5*'Assumptions and Drivers'!E9</f>
        <v>7905.9271651870513</v>
      </c>
      <c r="G12" s="121">
        <f>G5*'Assumptions and Drivers'!F9</f>
        <v>8577.9309742279511</v>
      </c>
      <c r="H12" s="121">
        <f>H5*'Assumptions and Drivers'!G9</f>
        <v>9264.1654521661876</v>
      </c>
    </row>
    <row r="13" spans="2:8">
      <c r="B13" s="128" t="s">
        <v>69</v>
      </c>
      <c r="C13" s="129">
        <f>SUM(C10:C12)</f>
        <v>28887.62</v>
      </c>
      <c r="D13" s="130">
        <f t="shared" ref="D13:H13" si="1">SUM(D10:D12)</f>
        <v>31755.640684500006</v>
      </c>
      <c r="E13" s="130">
        <f t="shared" si="1"/>
        <v>34687.095441430502</v>
      </c>
      <c r="F13" s="130">
        <f t="shared" si="1"/>
        <v>37669.417669420654</v>
      </c>
      <c r="G13" s="130">
        <f t="shared" si="1"/>
        <v>40619.026083844117</v>
      </c>
      <c r="H13" s="130">
        <f t="shared" si="1"/>
        <v>43868.548170551658</v>
      </c>
    </row>
    <row r="14" spans="2:8">
      <c r="B14" s="125"/>
      <c r="C14" s="126"/>
      <c r="D14" s="126"/>
      <c r="E14" s="126"/>
      <c r="F14" s="126"/>
      <c r="G14" s="126"/>
      <c r="H14" s="126"/>
    </row>
    <row r="15" spans="2:8">
      <c r="B15" s="131" t="s">
        <v>70</v>
      </c>
      <c r="C15" s="132">
        <f>C7-C13</f>
        <v>7419.7200000000048</v>
      </c>
      <c r="D15" s="133">
        <f t="shared" ref="D15:H15" si="2">D7-D13</f>
        <v>7942.9926154999957</v>
      </c>
      <c r="E15" s="133">
        <f t="shared" si="2"/>
        <v>8724.1354620694983</v>
      </c>
      <c r="F15" s="133">
        <f t="shared" si="2"/>
        <v>9592.8982512693547</v>
      </c>
      <c r="G15" s="133">
        <f t="shared" si="2"/>
        <v>10607.606349556787</v>
      </c>
      <c r="H15" s="133">
        <f t="shared" si="2"/>
        <v>11406.280886555076</v>
      </c>
    </row>
    <row r="16" spans="2:8">
      <c r="B16" s="125" t="s">
        <v>71</v>
      </c>
      <c r="C16" s="126">
        <f>'Historical data'!F18</f>
        <v>1228.8499999999999</v>
      </c>
      <c r="D16" s="126">
        <f>D5*'Assumptions and Drivers'!C13</f>
        <v>1168.9192889999999</v>
      </c>
      <c r="E16" s="126">
        <f>E5*'Assumptions and Drivers'!D13</f>
        <v>1279.966621455</v>
      </c>
      <c r="F16" s="126">
        <f>F5*'Assumptions and Drivers'!E13</f>
        <v>1395.1636173859501</v>
      </c>
      <c r="G16" s="126">
        <f>G5*'Assumptions and Drivers'!F13</f>
        <v>1513.752524863756</v>
      </c>
      <c r="H16" s="126">
        <f>H5*'Assumptions and Drivers'!G13</f>
        <v>1634.8527268528567</v>
      </c>
    </row>
    <row r="17" spans="2:8">
      <c r="B17" s="122"/>
      <c r="C17" s="117"/>
      <c r="D17" s="118"/>
      <c r="E17" s="118"/>
      <c r="F17" s="118"/>
      <c r="G17" s="118"/>
      <c r="H17" s="118"/>
    </row>
    <row r="18" spans="2:8">
      <c r="B18" s="131" t="s">
        <v>72</v>
      </c>
      <c r="C18" s="127">
        <f>C15-C16</f>
        <v>6190.8700000000044</v>
      </c>
      <c r="D18" s="134">
        <f t="shared" ref="D18:H18" si="3">D15-D16</f>
        <v>6774.0733264999963</v>
      </c>
      <c r="E18" s="134">
        <f t="shared" si="3"/>
        <v>7444.1688406144985</v>
      </c>
      <c r="F18" s="134">
        <f t="shared" si="3"/>
        <v>8197.734633883405</v>
      </c>
      <c r="G18" s="134">
        <f t="shared" si="3"/>
        <v>9093.8538246930311</v>
      </c>
      <c r="H18" s="134">
        <f t="shared" si="3"/>
        <v>9771.42815970222</v>
      </c>
    </row>
    <row r="19" spans="2:8">
      <c r="B19" s="125" t="s">
        <v>73</v>
      </c>
      <c r="C19" s="126">
        <f>'Historical data'!F20</f>
        <v>195.41</v>
      </c>
      <c r="D19" s="126">
        <f>D5*'Assumptions and Drivers'!C14</f>
        <v>194.81988150000001</v>
      </c>
      <c r="E19" s="126">
        <f>E5*'Assumptions and Drivers'!D14</f>
        <v>213.32777024250001</v>
      </c>
      <c r="F19" s="126">
        <f>F5*'Assumptions and Drivers'!E14</f>
        <v>232.52726956432502</v>
      </c>
      <c r="G19" s="126">
        <f>G5*'Assumptions and Drivers'!F14</f>
        <v>252.29208747729265</v>
      </c>
      <c r="H19" s="126">
        <f>H5*'Assumptions and Drivers'!G14</f>
        <v>272.47545447547611</v>
      </c>
    </row>
    <row r="20" spans="2:8">
      <c r="B20" s="122" t="s">
        <v>74</v>
      </c>
      <c r="C20" s="120">
        <f>'Historical data'!F21</f>
        <v>165.59</v>
      </c>
      <c r="D20" s="121">
        <f>C20+'Assumptions and Drivers'!C15</f>
        <v>185.59</v>
      </c>
      <c r="E20" s="121">
        <f>D20+'Assumptions and Drivers'!D15</f>
        <v>205.59</v>
      </c>
      <c r="F20" s="121">
        <f>E20+'Assumptions and Drivers'!E15</f>
        <v>225.59</v>
      </c>
      <c r="G20" s="121">
        <f>F20+'Assumptions and Drivers'!F15</f>
        <v>245.59</v>
      </c>
      <c r="H20" s="121">
        <f>G20+'Assumptions and Drivers'!G15</f>
        <v>265.59000000000003</v>
      </c>
    </row>
    <row r="21" spans="2:8">
      <c r="B21" s="122" t="s">
        <v>75</v>
      </c>
      <c r="C21" s="120">
        <f>'Historical data'!F22</f>
        <v>157.61000000000001</v>
      </c>
      <c r="D21" s="121">
        <f>'Assumptions and Drivers'!C16</f>
        <v>0</v>
      </c>
      <c r="E21" s="121">
        <f>'Assumptions and Drivers'!D16</f>
        <v>0</v>
      </c>
      <c r="F21" s="121">
        <f>'Assumptions and Drivers'!E16</f>
        <v>0</v>
      </c>
      <c r="G21" s="121">
        <f>'Assumptions and Drivers'!F16</f>
        <v>0</v>
      </c>
      <c r="H21" s="121">
        <f>'Assumptions and Drivers'!G16</f>
        <v>0</v>
      </c>
    </row>
    <row r="22" spans="2:8">
      <c r="B22" s="135"/>
      <c r="C22" s="117"/>
      <c r="D22" s="118"/>
      <c r="E22" s="118"/>
      <c r="F22" s="118"/>
      <c r="G22" s="118"/>
      <c r="H22" s="118"/>
    </row>
    <row r="23" spans="2:8">
      <c r="B23" s="128" t="s">
        <v>76</v>
      </c>
      <c r="C23" s="136">
        <f>'Historical data'!F23</f>
        <v>6003.4400000000051</v>
      </c>
      <c r="D23" s="137">
        <f t="shared" ref="D23:H23" si="4">D18-D19+D20+D21</f>
        <v>6764.8434449999968</v>
      </c>
      <c r="E23" s="137">
        <f t="shared" si="4"/>
        <v>7436.4310703719984</v>
      </c>
      <c r="F23" s="137">
        <f t="shared" si="4"/>
        <v>8190.7973643190799</v>
      </c>
      <c r="G23" s="137">
        <f t="shared" si="4"/>
        <v>9087.1517372157377</v>
      </c>
      <c r="H23" s="137">
        <f t="shared" si="4"/>
        <v>9764.5427052267441</v>
      </c>
    </row>
    <row r="24" spans="2:8">
      <c r="B24" s="125" t="s">
        <v>77</v>
      </c>
      <c r="C24" s="126">
        <f>'Historical data'!F24</f>
        <v>1608.75</v>
      </c>
      <c r="D24" s="126">
        <f>D23*'Assumptions and Drivers'!C17</f>
        <v>1758.8592956999992</v>
      </c>
      <c r="E24" s="126">
        <f>E23*'Assumptions and Drivers'!D17</f>
        <v>1933.4720782967197</v>
      </c>
      <c r="F24" s="126">
        <f>F23*'Assumptions and Drivers'!E17</f>
        <v>2129.6073147229608</v>
      </c>
      <c r="G24" s="126">
        <f>G23*'Assumptions and Drivers'!F17</f>
        <v>2362.659451676092</v>
      </c>
      <c r="H24" s="126">
        <f>H23*'Assumptions and Drivers'!G17</f>
        <v>2538.7811033589537</v>
      </c>
    </row>
    <row r="25" spans="2:8">
      <c r="B25" s="135"/>
      <c r="C25" s="117"/>
      <c r="D25" s="118"/>
      <c r="E25" s="118"/>
      <c r="F25" s="118"/>
      <c r="G25" s="118"/>
      <c r="H25" s="118"/>
    </row>
    <row r="26" spans="2:8">
      <c r="B26" s="128" t="s">
        <v>78</v>
      </c>
      <c r="C26" s="136">
        <f>C23-C24</f>
        <v>4394.6900000000051</v>
      </c>
      <c r="D26" s="137">
        <f>D23-D24</f>
        <v>5005.9841492999976</v>
      </c>
      <c r="E26" s="137">
        <f t="shared" ref="E26:H26" si="5">E23-E24</f>
        <v>5502.9589920752787</v>
      </c>
      <c r="F26" s="137">
        <f t="shared" si="5"/>
        <v>6061.190049596119</v>
      </c>
      <c r="G26" s="137">
        <f t="shared" si="5"/>
        <v>6724.4922855396453</v>
      </c>
      <c r="H26" s="137">
        <f t="shared" si="5"/>
        <v>7225.7616018677909</v>
      </c>
    </row>
    <row r="27" spans="2:8">
      <c r="B27" s="125" t="s">
        <v>79</v>
      </c>
      <c r="C27" s="126">
        <f>'Historical data'!F26</f>
        <v>-27.36</v>
      </c>
      <c r="D27" s="126">
        <f>'Assumptions and Drivers'!C18</f>
        <v>0</v>
      </c>
      <c r="E27" s="126">
        <f>'Assumptions and Drivers'!D18</f>
        <v>0</v>
      </c>
      <c r="F27" s="126">
        <f>'Assumptions and Drivers'!E18</f>
        <v>0</v>
      </c>
      <c r="G27" s="126">
        <f>'Assumptions and Drivers'!F18</f>
        <v>0</v>
      </c>
      <c r="H27" s="126">
        <f>'Assumptions and Drivers'!G18</f>
        <v>0</v>
      </c>
    </row>
    <row r="28" spans="2:8">
      <c r="B28" s="128" t="s">
        <v>80</v>
      </c>
      <c r="C28" s="136">
        <f>C26+C27</f>
        <v>4367.3300000000054</v>
      </c>
      <c r="D28" s="137">
        <f t="shared" ref="D28:H28" si="6">D26+D27</f>
        <v>5005.9841492999976</v>
      </c>
      <c r="E28" s="137">
        <f t="shared" si="6"/>
        <v>5502.9589920752787</v>
      </c>
      <c r="F28" s="137">
        <f t="shared" si="6"/>
        <v>6061.190049596119</v>
      </c>
      <c r="G28" s="137">
        <f t="shared" si="6"/>
        <v>6724.4922855396453</v>
      </c>
      <c r="H28" s="137">
        <f t="shared" si="6"/>
        <v>7225.7616018677909</v>
      </c>
    </row>
    <row r="29" spans="2:8">
      <c r="B29" s="138"/>
      <c r="C29" s="139"/>
      <c r="D29" s="139"/>
      <c r="E29" s="139"/>
      <c r="F29" s="139"/>
      <c r="G29" s="139"/>
      <c r="H29" s="139"/>
    </row>
    <row r="30" spans="2:8">
      <c r="B30" s="116"/>
      <c r="C30" s="117"/>
      <c r="D30" s="118"/>
      <c r="E30" s="118"/>
      <c r="F30" s="118"/>
      <c r="G30" s="118"/>
      <c r="H30" s="118"/>
    </row>
    <row r="31" spans="2:8">
      <c r="B31" s="228" t="s">
        <v>172</v>
      </c>
      <c r="C31" s="111" t="s">
        <v>62</v>
      </c>
      <c r="D31" s="140" t="s">
        <v>164</v>
      </c>
      <c r="E31" s="140" t="s">
        <v>165</v>
      </c>
      <c r="F31" s="140" t="s">
        <v>166</v>
      </c>
      <c r="G31" s="140" t="s">
        <v>167</v>
      </c>
      <c r="H31" s="140" t="s">
        <v>168</v>
      </c>
    </row>
    <row r="32" spans="2:8">
      <c r="B32" s="116"/>
      <c r="C32" s="117"/>
      <c r="D32" s="118"/>
      <c r="E32" s="118"/>
      <c r="F32" s="118"/>
      <c r="G32" s="118"/>
      <c r="H32" s="118"/>
    </row>
    <row r="33" spans="2:14">
      <c r="B33" s="109" t="s">
        <v>83</v>
      </c>
      <c r="C33" s="141"/>
      <c r="D33" s="141"/>
      <c r="E33" s="141"/>
      <c r="F33" s="141"/>
      <c r="G33" s="141"/>
      <c r="H33" s="141"/>
    </row>
    <row r="34" spans="2:14">
      <c r="B34" s="142" t="s">
        <v>84</v>
      </c>
      <c r="C34" s="117"/>
      <c r="D34" s="118"/>
      <c r="E34" s="118"/>
      <c r="F34" s="118"/>
      <c r="G34" s="118"/>
      <c r="H34" s="118"/>
    </row>
    <row r="35" spans="2:14">
      <c r="B35" s="122" t="s">
        <v>85</v>
      </c>
      <c r="C35" s="120">
        <f>'Historical data'!F35</f>
        <v>7146.23</v>
      </c>
      <c r="D35" s="121">
        <f>C35+'Assumptions and Drivers'!C28-D16</f>
        <v>7925.5095259999998</v>
      </c>
      <c r="E35" s="121">
        <f>D35+'Assumptions and Drivers'!D28-E16</f>
        <v>8778.8206069700009</v>
      </c>
      <c r="F35" s="121">
        <f>E35+'Assumptions and Drivers'!E28-F16</f>
        <v>9708.9296852273019</v>
      </c>
      <c r="G35" s="121">
        <f>F35+'Assumptions and Drivers'!F28-G16</f>
        <v>10718.098035136472</v>
      </c>
      <c r="H35" s="121">
        <f>G35+'Assumptions and Drivers'!G28-H16</f>
        <v>11807.999853038378</v>
      </c>
    </row>
    <row r="36" spans="2:14">
      <c r="B36" s="122" t="s">
        <v>86</v>
      </c>
      <c r="C36" s="120">
        <f>'Historical data'!F36</f>
        <v>2018.77</v>
      </c>
      <c r="D36" s="121">
        <f>C36*1.02</f>
        <v>2059.1453999999999</v>
      </c>
      <c r="E36" s="121">
        <f t="shared" ref="E36:H36" si="7">D36*1.02</f>
        <v>2100.3283080000001</v>
      </c>
      <c r="F36" s="121">
        <f t="shared" si="7"/>
        <v>2142.3348741600003</v>
      </c>
      <c r="G36" s="121">
        <f t="shared" si="7"/>
        <v>2185.1815716432002</v>
      </c>
      <c r="H36" s="121">
        <f t="shared" si="7"/>
        <v>2228.885203076064</v>
      </c>
    </row>
    <row r="37" spans="2:14">
      <c r="B37" s="122" t="s">
        <v>87</v>
      </c>
      <c r="C37" s="120">
        <f>'Historical data'!F37</f>
        <v>1848.67</v>
      </c>
      <c r="D37" s="118">
        <f>C37</f>
        <v>1848.67</v>
      </c>
      <c r="E37" s="118">
        <f t="shared" ref="E37:H37" si="8">D37</f>
        <v>1848.67</v>
      </c>
      <c r="F37" s="118">
        <f t="shared" si="8"/>
        <v>1848.67</v>
      </c>
      <c r="G37" s="118">
        <f t="shared" si="8"/>
        <v>1848.67</v>
      </c>
      <c r="H37" s="118">
        <f t="shared" si="8"/>
        <v>1848.67</v>
      </c>
    </row>
    <row r="38" spans="2:14">
      <c r="B38" s="122" t="s">
        <v>88</v>
      </c>
      <c r="C38" s="120">
        <f>'Historical data'!F38</f>
        <v>475.28</v>
      </c>
      <c r="D38" s="121">
        <f>C38*(1+1%)</f>
        <v>480.03279999999995</v>
      </c>
      <c r="E38" s="121">
        <f t="shared" ref="E38:H38" si="9">D38*(1+1%)</f>
        <v>484.83312799999993</v>
      </c>
      <c r="F38" s="121">
        <f t="shared" si="9"/>
        <v>489.68145927999996</v>
      </c>
      <c r="G38" s="121">
        <f t="shared" si="9"/>
        <v>494.57827387279997</v>
      </c>
      <c r="H38" s="121">
        <f t="shared" si="9"/>
        <v>499.52405661152795</v>
      </c>
    </row>
    <row r="39" spans="2:14">
      <c r="B39" s="122" t="s">
        <v>89</v>
      </c>
      <c r="C39" s="120">
        <f>'Historical data'!F39</f>
        <v>775.91</v>
      </c>
      <c r="D39" s="118">
        <f>C39</f>
        <v>775.91</v>
      </c>
      <c r="E39" s="118">
        <f t="shared" ref="E39:H39" si="10">D39</f>
        <v>775.91</v>
      </c>
      <c r="F39" s="118">
        <f t="shared" si="10"/>
        <v>775.91</v>
      </c>
      <c r="G39" s="118">
        <f t="shared" si="10"/>
        <v>775.91</v>
      </c>
      <c r="H39" s="118">
        <f t="shared" si="10"/>
        <v>775.91</v>
      </c>
    </row>
    <row r="40" spans="2:14">
      <c r="B40" s="122" t="s">
        <v>90</v>
      </c>
      <c r="C40" s="120">
        <f>'Historical data'!F40</f>
        <v>2084.9899999999998</v>
      </c>
      <c r="D40" s="118">
        <f>C40</f>
        <v>2084.9899999999998</v>
      </c>
      <c r="E40" s="118">
        <f t="shared" ref="E40:H40" si="11">D40</f>
        <v>2084.9899999999998</v>
      </c>
      <c r="F40" s="118">
        <f t="shared" si="11"/>
        <v>2084.9899999999998</v>
      </c>
      <c r="G40" s="118">
        <f t="shared" si="11"/>
        <v>2084.9899999999998</v>
      </c>
      <c r="H40" s="118">
        <f t="shared" si="11"/>
        <v>2084.9899999999998</v>
      </c>
    </row>
    <row r="41" spans="2:14">
      <c r="B41" s="143"/>
      <c r="C41" s="117"/>
      <c r="D41" s="118"/>
      <c r="E41" s="118"/>
      <c r="F41" s="118"/>
      <c r="G41" s="118"/>
      <c r="H41" s="118"/>
    </row>
    <row r="42" spans="2:14">
      <c r="B42" s="144" t="s">
        <v>91</v>
      </c>
      <c r="C42" s="145">
        <f>SUM(C35:C40)</f>
        <v>14349.85</v>
      </c>
      <c r="D42" s="146">
        <f t="shared" ref="D42:H42" si="12">SUM(D35:D40)</f>
        <v>15174.257725999998</v>
      </c>
      <c r="E42" s="146">
        <f t="shared" si="12"/>
        <v>16073.552042970001</v>
      </c>
      <c r="F42" s="146">
        <f t="shared" si="12"/>
        <v>17050.516018667302</v>
      </c>
      <c r="G42" s="146">
        <f t="shared" si="12"/>
        <v>18107.427880652474</v>
      </c>
      <c r="H42" s="146">
        <f t="shared" si="12"/>
        <v>19245.979112725967</v>
      </c>
    </row>
    <row r="43" spans="2:14">
      <c r="B43" s="143"/>
      <c r="C43" s="117"/>
      <c r="D43" s="118"/>
      <c r="E43" s="118"/>
      <c r="F43" s="118"/>
      <c r="G43" s="118"/>
      <c r="H43" s="118"/>
    </row>
    <row r="44" spans="2:14">
      <c r="B44" s="142" t="s">
        <v>92</v>
      </c>
      <c r="C44" s="117"/>
      <c r="D44" s="118"/>
      <c r="E44" s="118"/>
      <c r="F44" s="118"/>
      <c r="G44" s="118"/>
      <c r="H44" s="118"/>
    </row>
    <row r="45" spans="2:14">
      <c r="B45" s="122" t="s">
        <v>93</v>
      </c>
      <c r="C45" s="120">
        <f>'Historical data'!F45</f>
        <v>5743.69</v>
      </c>
      <c r="D45" s="121">
        <f>'Assumptions and Drivers'!C22/365*D10</f>
        <v>6389.0246070000003</v>
      </c>
      <c r="E45" s="121">
        <f>'Assumptions and Drivers'!D22/365*E10</f>
        <v>6971.4346395960001</v>
      </c>
      <c r="F45" s="121">
        <f>'Assumptions and Drivers'!E22/365*F10</f>
        <v>7585.485475897035</v>
      </c>
      <c r="G45" s="121">
        <f>'Assumptions and Drivers'!F22/365*G10</f>
        <v>8201.2208710084305</v>
      </c>
      <c r="H45" s="121">
        <f>'Assumptions and Drivers'!G22/365*H10</f>
        <v>8857.3185406891062</v>
      </c>
      <c r="J45" s="6"/>
      <c r="K45" s="6"/>
      <c r="L45" s="6"/>
      <c r="M45" s="6"/>
      <c r="N45" s="6"/>
    </row>
    <row r="46" spans="2:14">
      <c r="B46" s="122" t="s">
        <v>94</v>
      </c>
      <c r="C46" s="120">
        <f>'Historical data'!F46</f>
        <v>4461.8</v>
      </c>
      <c r="D46" s="121">
        <f>'Assumptions and Drivers'!C23/365*D5</f>
        <v>4910.5285200000008</v>
      </c>
      <c r="E46" s="121">
        <f>'Assumptions and Drivers'!D23/365*E5</f>
        <v>5377.0287294000009</v>
      </c>
      <c r="F46" s="121">
        <f>'Assumptions and Drivers'!E23/365*F5</f>
        <v>5860.9613150460009</v>
      </c>
      <c r="G46" s="121">
        <f>'Assumptions and Drivers'!F23/365*G5</f>
        <v>6359.1430268249114</v>
      </c>
      <c r="H46" s="121">
        <f>'Assumptions and Drivers'!G23/365*H5</f>
        <v>6867.8744689709056</v>
      </c>
      <c r="J46" s="6"/>
      <c r="K46" s="7"/>
      <c r="L46" s="7"/>
      <c r="M46" s="7"/>
      <c r="N46" s="8"/>
    </row>
    <row r="47" spans="2:14">
      <c r="B47" s="122" t="s">
        <v>95</v>
      </c>
      <c r="C47" s="120">
        <f>'Historical data'!F47</f>
        <v>1073.68</v>
      </c>
      <c r="D47" s="121">
        <f>D112</f>
        <v>1393.3923347558105</v>
      </c>
      <c r="E47" s="121">
        <f t="shared" ref="E47:H47" si="13">E112</f>
        <v>1800.0351285230174</v>
      </c>
      <c r="F47" s="121">
        <f t="shared" si="13"/>
        <v>2279.1531158790158</v>
      </c>
      <c r="G47" s="121">
        <f t="shared" si="13"/>
        <v>2869.9134242240516</v>
      </c>
      <c r="H47" s="121">
        <f t="shared" si="13"/>
        <v>3503.0305182979682</v>
      </c>
      <c r="J47" s="6"/>
      <c r="K47" s="7"/>
      <c r="L47" s="7"/>
      <c r="M47" s="7"/>
      <c r="N47" s="8"/>
    </row>
    <row r="48" spans="2:14">
      <c r="B48" s="122" t="s">
        <v>96</v>
      </c>
      <c r="C48" s="120">
        <f>'Historical data'!F48</f>
        <v>6285.83</v>
      </c>
      <c r="D48" s="121">
        <f>C48</f>
        <v>6285.83</v>
      </c>
      <c r="E48" s="121">
        <f t="shared" ref="E48:H48" si="14">D48</f>
        <v>6285.83</v>
      </c>
      <c r="F48" s="121">
        <f t="shared" si="14"/>
        <v>6285.83</v>
      </c>
      <c r="G48" s="121">
        <f t="shared" si="14"/>
        <v>6285.83</v>
      </c>
      <c r="H48" s="121">
        <f t="shared" si="14"/>
        <v>6285.83</v>
      </c>
      <c r="J48" s="6"/>
      <c r="K48" s="7"/>
      <c r="L48" s="7"/>
      <c r="M48" s="7"/>
      <c r="N48" s="8"/>
    </row>
    <row r="49" spans="2:14">
      <c r="B49" s="122" t="s">
        <v>97</v>
      </c>
      <c r="C49" s="120">
        <f>'Historical data'!F49</f>
        <v>2619.64</v>
      </c>
      <c r="D49" s="121">
        <f>C49</f>
        <v>2619.64</v>
      </c>
      <c r="E49" s="121">
        <f t="shared" ref="E49:H49" si="15">D49</f>
        <v>2619.64</v>
      </c>
      <c r="F49" s="121">
        <f t="shared" si="15"/>
        <v>2619.64</v>
      </c>
      <c r="G49" s="121">
        <f t="shared" si="15"/>
        <v>2619.64</v>
      </c>
      <c r="H49" s="121">
        <f t="shared" si="15"/>
        <v>2619.64</v>
      </c>
      <c r="J49" s="6"/>
      <c r="K49" s="7"/>
      <c r="L49" s="7"/>
      <c r="M49" s="7"/>
      <c r="N49" s="8"/>
    </row>
    <row r="50" spans="2:14">
      <c r="B50" s="143"/>
      <c r="C50" s="117"/>
      <c r="D50" s="118"/>
      <c r="E50" s="118"/>
      <c r="F50" s="118"/>
      <c r="G50" s="118"/>
      <c r="H50" s="118"/>
      <c r="J50" s="6"/>
      <c r="K50" s="7"/>
      <c r="L50" s="7"/>
      <c r="M50" s="7"/>
      <c r="N50" s="8"/>
    </row>
    <row r="51" spans="2:14">
      <c r="B51" s="144" t="s">
        <v>98</v>
      </c>
      <c r="C51" s="145">
        <f>SUM(C45:C49)</f>
        <v>20184.64</v>
      </c>
      <c r="D51" s="146">
        <f t="shared" ref="D51:H51" si="16">SUM(D45:D49)</f>
        <v>21598.415461755809</v>
      </c>
      <c r="E51" s="146">
        <f t="shared" si="16"/>
        <v>23053.968497519018</v>
      </c>
      <c r="F51" s="146">
        <f t="shared" si="16"/>
        <v>24631.069906822049</v>
      </c>
      <c r="G51" s="146">
        <f t="shared" si="16"/>
        <v>26335.747322057396</v>
      </c>
      <c r="H51" s="146">
        <f t="shared" si="16"/>
        <v>28133.693527957977</v>
      </c>
    </row>
    <row r="52" spans="2:14">
      <c r="B52" s="116"/>
      <c r="C52" s="117"/>
      <c r="D52" s="118"/>
      <c r="E52" s="118"/>
      <c r="F52" s="118"/>
      <c r="G52" s="118"/>
      <c r="H52" s="118"/>
    </row>
    <row r="53" spans="2:14">
      <c r="B53" s="138" t="s">
        <v>99</v>
      </c>
      <c r="C53" s="139">
        <f>C42+C51</f>
        <v>34534.49</v>
      </c>
      <c r="D53" s="139">
        <f t="shared" ref="D53:H53" si="17">D42+D51</f>
        <v>36772.673187755805</v>
      </c>
      <c r="E53" s="139">
        <f t="shared" si="17"/>
        <v>39127.520540489015</v>
      </c>
      <c r="F53" s="139">
        <f t="shared" si="17"/>
        <v>41681.585925489351</v>
      </c>
      <c r="G53" s="139">
        <f t="shared" si="17"/>
        <v>44443.17520270987</v>
      </c>
      <c r="H53" s="139">
        <f t="shared" si="17"/>
        <v>47379.672640683944</v>
      </c>
      <c r="J53" s="6"/>
      <c r="K53" s="6"/>
      <c r="L53" s="6"/>
      <c r="M53" s="6"/>
    </row>
    <row r="54" spans="2:14">
      <c r="B54" s="116"/>
      <c r="C54" s="117"/>
      <c r="D54" s="118"/>
      <c r="E54" s="118"/>
      <c r="F54" s="118"/>
      <c r="G54" s="118"/>
      <c r="H54" s="118"/>
      <c r="J54" s="6"/>
      <c r="K54" s="7"/>
      <c r="L54" s="9"/>
      <c r="M54" s="9"/>
    </row>
    <row r="55" spans="2:14">
      <c r="B55" s="119" t="s">
        <v>100</v>
      </c>
      <c r="C55" s="117"/>
      <c r="D55" s="118"/>
      <c r="E55" s="118"/>
      <c r="F55" s="118"/>
      <c r="G55" s="118"/>
      <c r="H55" s="118"/>
      <c r="J55" s="6"/>
      <c r="K55" s="7"/>
      <c r="L55" s="9"/>
      <c r="M55" s="9"/>
    </row>
    <row r="56" spans="2:14">
      <c r="B56" s="119" t="s">
        <v>101</v>
      </c>
      <c r="C56" s="117"/>
      <c r="D56" s="118"/>
      <c r="E56" s="118"/>
      <c r="F56" s="118"/>
      <c r="G56" s="118"/>
      <c r="H56" s="118"/>
      <c r="J56" s="6"/>
      <c r="K56" s="7"/>
      <c r="L56" s="9"/>
      <c r="M56" s="9"/>
    </row>
    <row r="57" spans="2:14">
      <c r="B57" s="122" t="s">
        <v>102</v>
      </c>
      <c r="C57" s="120">
        <f>'Historical data'!F57</f>
        <v>21371.59</v>
      </c>
      <c r="D57" s="121">
        <f>C57+D26*(1-'Assumptions and Drivers'!C19)+D27</f>
        <v>22770.596426538799</v>
      </c>
      <c r="E57" s="121">
        <f>D57+E26*(1-'Assumptions and Drivers'!D19)+E27</f>
        <v>24308.490827576668</v>
      </c>
      <c r="F57" s="121">
        <f>E57+F26*(1-'Assumptions and Drivers'!E19)+F27</f>
        <v>26002.392282107587</v>
      </c>
      <c r="G57" s="121">
        <f>F57+G26*(1-'Assumptions and Drivers'!F19)+G27</f>
        <v>27881.664697302116</v>
      </c>
      <c r="H57" s="121">
        <f>G57+H26*(1-'Assumptions and Drivers'!G19)+H27</f>
        <v>29901.025249824819</v>
      </c>
      <c r="J57" s="6"/>
      <c r="K57" s="7"/>
      <c r="L57" s="9"/>
      <c r="M57" s="9"/>
    </row>
    <row r="58" spans="2:14">
      <c r="B58" s="147" t="s">
        <v>103</v>
      </c>
      <c r="C58" s="120">
        <f>'Historical data'!F58</f>
        <v>643.39</v>
      </c>
      <c r="D58" s="118">
        <f>C58</f>
        <v>643.39</v>
      </c>
      <c r="E58" s="118">
        <f t="shared" ref="E58:H58" si="18">D58</f>
        <v>643.39</v>
      </c>
      <c r="F58" s="118">
        <f t="shared" si="18"/>
        <v>643.39</v>
      </c>
      <c r="G58" s="118">
        <f t="shared" si="18"/>
        <v>643.39</v>
      </c>
      <c r="H58" s="118">
        <f t="shared" si="18"/>
        <v>643.39</v>
      </c>
      <c r="J58" s="6"/>
      <c r="K58" s="7"/>
      <c r="L58" s="9"/>
      <c r="M58" s="9"/>
    </row>
    <row r="59" spans="2:14">
      <c r="B59" s="148" t="s">
        <v>104</v>
      </c>
      <c r="C59" s="145">
        <f>SUM(C57:C58)</f>
        <v>22014.98</v>
      </c>
      <c r="D59" s="146">
        <f t="shared" ref="D59:H59" si="19">SUM(D57:D58)</f>
        <v>23413.986426538799</v>
      </c>
      <c r="E59" s="146">
        <f t="shared" si="19"/>
        <v>24951.880827576668</v>
      </c>
      <c r="F59" s="146">
        <f t="shared" si="19"/>
        <v>26645.782282107586</v>
      </c>
      <c r="G59" s="146">
        <f t="shared" si="19"/>
        <v>28525.054697302116</v>
      </c>
      <c r="H59" s="146">
        <f t="shared" si="19"/>
        <v>30544.415249824819</v>
      </c>
    </row>
    <row r="60" spans="2:14">
      <c r="B60" s="116"/>
      <c r="C60" s="117"/>
      <c r="D60" s="118"/>
      <c r="E60" s="118"/>
      <c r="F60" s="118"/>
      <c r="G60" s="118"/>
      <c r="H60" s="118"/>
    </row>
    <row r="61" spans="2:14">
      <c r="B61" s="138" t="s">
        <v>105</v>
      </c>
      <c r="C61" s="139"/>
      <c r="D61" s="139"/>
      <c r="E61" s="139"/>
      <c r="F61" s="139"/>
      <c r="G61" s="139"/>
      <c r="H61" s="139"/>
    </row>
    <row r="62" spans="2:14">
      <c r="B62" s="119" t="s">
        <v>106</v>
      </c>
      <c r="C62" s="117"/>
      <c r="D62" s="118"/>
      <c r="E62" s="118"/>
      <c r="F62" s="118"/>
      <c r="G62" s="118"/>
      <c r="H62" s="118"/>
    </row>
    <row r="63" spans="2:14">
      <c r="B63" s="122" t="s">
        <v>107</v>
      </c>
      <c r="C63" s="120">
        <f>'Historical data'!F63</f>
        <v>1247.17</v>
      </c>
      <c r="D63" s="121">
        <f>C63</f>
        <v>1247.17</v>
      </c>
      <c r="E63" s="121">
        <f t="shared" ref="E63:H63" si="20">D63</f>
        <v>1247.17</v>
      </c>
      <c r="F63" s="121">
        <f t="shared" si="20"/>
        <v>1247.17</v>
      </c>
      <c r="G63" s="121">
        <f t="shared" si="20"/>
        <v>1247.17</v>
      </c>
      <c r="H63" s="121">
        <f t="shared" si="20"/>
        <v>1247.17</v>
      </c>
    </row>
    <row r="64" spans="2:14">
      <c r="B64" s="122" t="s">
        <v>108</v>
      </c>
      <c r="C64" s="120">
        <f>'Historical data'!F64</f>
        <v>1306.94</v>
      </c>
      <c r="D64" s="121">
        <f>C64*(C36/D36)</f>
        <v>1281.3137254901962</v>
      </c>
      <c r="E64" s="121">
        <f>D64*(D36/E36)</f>
        <v>1256.1899269511725</v>
      </c>
      <c r="F64" s="121">
        <f t="shared" ref="F64:H64" si="21">E64*(E36/F36)</f>
        <v>1231.5587519129142</v>
      </c>
      <c r="G64" s="121">
        <f t="shared" si="21"/>
        <v>1207.4105410910925</v>
      </c>
      <c r="H64" s="121">
        <f t="shared" si="21"/>
        <v>1183.7358245991104</v>
      </c>
    </row>
    <row r="65" spans="2:8">
      <c r="B65" s="149" t="s">
        <v>109</v>
      </c>
      <c r="C65" s="120">
        <f>'Historical data'!F65</f>
        <v>403.26</v>
      </c>
      <c r="D65" s="121">
        <f>C65*(D35/C35)</f>
        <v>447.23455184828367</v>
      </c>
      <c r="E65" s="121">
        <f t="shared" ref="E65:H65" si="22">D65*(E35/D35)</f>
        <v>495.38668612215429</v>
      </c>
      <c r="F65" s="121">
        <f t="shared" si="22"/>
        <v>547.87251248067332</v>
      </c>
      <c r="G65" s="121">
        <f t="shared" si="22"/>
        <v>604.81963407966634</v>
      </c>
      <c r="H65" s="121">
        <f t="shared" si="22"/>
        <v>666.32252540657896</v>
      </c>
    </row>
    <row r="66" spans="2:8">
      <c r="B66" s="147" t="s">
        <v>110</v>
      </c>
      <c r="C66" s="120">
        <f>'Historical data'!F66</f>
        <v>425.11</v>
      </c>
      <c r="D66" s="121">
        <f>C66</f>
        <v>425.11</v>
      </c>
      <c r="E66" s="121">
        <f t="shared" ref="E66:H66" si="23">D66</f>
        <v>425.11</v>
      </c>
      <c r="F66" s="121">
        <f t="shared" si="23"/>
        <v>425.11</v>
      </c>
      <c r="G66" s="121">
        <f t="shared" si="23"/>
        <v>425.11</v>
      </c>
      <c r="H66" s="121">
        <f t="shared" si="23"/>
        <v>425.11</v>
      </c>
    </row>
    <row r="67" spans="2:8">
      <c r="B67" s="150" t="s">
        <v>111</v>
      </c>
      <c r="C67" s="151">
        <f>SUM(C63:C66)</f>
        <v>3382.48</v>
      </c>
      <c r="D67" s="152">
        <f t="shared" ref="D67:H67" si="24">SUM(D63:D66)</f>
        <v>3400.8282773384803</v>
      </c>
      <c r="E67" s="152">
        <f t="shared" si="24"/>
        <v>3423.8566130733266</v>
      </c>
      <c r="F67" s="152">
        <f t="shared" si="24"/>
        <v>3451.7112643935875</v>
      </c>
      <c r="G67" s="152">
        <f t="shared" si="24"/>
        <v>3484.5101751707589</v>
      </c>
      <c r="H67" s="152">
        <f t="shared" si="24"/>
        <v>3522.3383500056893</v>
      </c>
    </row>
    <row r="68" spans="2:8">
      <c r="B68" s="138"/>
      <c r="C68" s="139"/>
      <c r="D68" s="139"/>
      <c r="E68" s="139"/>
      <c r="F68" s="139"/>
      <c r="G68" s="139"/>
      <c r="H68" s="139"/>
    </row>
    <row r="69" spans="2:8">
      <c r="B69" s="119" t="s">
        <v>112</v>
      </c>
      <c r="C69" s="117"/>
      <c r="D69" s="118"/>
      <c r="E69" s="118"/>
      <c r="F69" s="118"/>
      <c r="G69" s="118"/>
      <c r="H69" s="118"/>
    </row>
    <row r="70" spans="2:8">
      <c r="B70" s="122" t="s">
        <v>113</v>
      </c>
      <c r="C70" s="120">
        <f>'Historical data'!F70</f>
        <v>1046.0899999999999</v>
      </c>
      <c r="D70" s="121">
        <f>C70</f>
        <v>1046.0899999999999</v>
      </c>
      <c r="E70" s="121">
        <f t="shared" ref="E70:H70" si="25">D70</f>
        <v>1046.0899999999999</v>
      </c>
      <c r="F70" s="121">
        <f t="shared" si="25"/>
        <v>1046.0899999999999</v>
      </c>
      <c r="G70" s="121">
        <f t="shared" si="25"/>
        <v>1046.0899999999999</v>
      </c>
      <c r="H70" s="121">
        <f t="shared" si="25"/>
        <v>1046.0899999999999</v>
      </c>
    </row>
    <row r="71" spans="2:8" ht="14.25">
      <c r="B71" s="122" t="s">
        <v>114</v>
      </c>
      <c r="C71" s="120">
        <f>'Historical data'!F71</f>
        <v>3863.04</v>
      </c>
      <c r="D71" s="153">
        <f>'Assumptions and Drivers'!C24/365*D10</f>
        <v>4320.1975914000004</v>
      </c>
      <c r="E71" s="153">
        <f>'Assumptions and Drivers'!D24/365*E10</f>
        <v>4714.017708679201</v>
      </c>
      <c r="F71" s="153">
        <f>'Assumptions and Drivers'!E24/365*F10</f>
        <v>5129.2330360827582</v>
      </c>
      <c r="G71" s="153">
        <f>'Assumptions and Drivers'!F24/365*G10</f>
        <v>5545.5874461104622</v>
      </c>
      <c r="H71" s="153">
        <f>'Assumptions and Drivers'!G24/365*H10</f>
        <v>5989.2344417993008</v>
      </c>
    </row>
    <row r="72" spans="2:8">
      <c r="B72" s="122" t="s">
        <v>115</v>
      </c>
      <c r="C72" s="120">
        <f>'Historical data'!F72</f>
        <v>328.73</v>
      </c>
      <c r="D72" s="121">
        <f>C72*(C36/D36)</f>
        <v>322.28431372549022</v>
      </c>
      <c r="E72" s="121">
        <f t="shared" ref="E72:H72" si="26">D72*(D36/E36)</f>
        <v>315.9650134563629</v>
      </c>
      <c r="F72" s="121">
        <f t="shared" si="26"/>
        <v>309.76962103564989</v>
      </c>
      <c r="G72" s="121">
        <f t="shared" si="26"/>
        <v>303.69570689769597</v>
      </c>
      <c r="H72" s="121">
        <f t="shared" si="26"/>
        <v>297.7408891153882</v>
      </c>
    </row>
    <row r="73" spans="2:8">
      <c r="B73" s="122" t="s">
        <v>116</v>
      </c>
      <c r="C73" s="120">
        <f>'Historical data'!F73</f>
        <v>180.01</v>
      </c>
      <c r="D73" s="121">
        <f>C73*(D24/C24)</f>
        <v>196.80637875304234</v>
      </c>
      <c r="E73" s="121">
        <f t="shared" ref="E73:H73" si="27">D73*(E24/D24)</f>
        <v>216.34455870346076</v>
      </c>
      <c r="F73" s="121">
        <f t="shared" si="27"/>
        <v>238.29097915977013</v>
      </c>
      <c r="G73" s="121">
        <f t="shared" si="27"/>
        <v>264.36819138847761</v>
      </c>
      <c r="H73" s="121">
        <f t="shared" si="27"/>
        <v>284.07520523117034</v>
      </c>
    </row>
    <row r="74" spans="2:8">
      <c r="B74" s="147" t="s">
        <v>117</v>
      </c>
      <c r="C74" s="120">
        <f>'Historical data'!F74</f>
        <v>3719.16</v>
      </c>
      <c r="D74" s="121">
        <f>C74*(D5/C5)</f>
        <v>4072.4802</v>
      </c>
      <c r="E74" s="121">
        <f t="shared" ref="E74:H74" si="28">D74*(E5/D5)</f>
        <v>4459.3658189999996</v>
      </c>
      <c r="F74" s="121">
        <f t="shared" si="28"/>
        <v>4860.7087427099996</v>
      </c>
      <c r="G74" s="121">
        <f t="shared" si="28"/>
        <v>5273.8689858403495</v>
      </c>
      <c r="H74" s="121">
        <f t="shared" si="28"/>
        <v>5695.7785047075777</v>
      </c>
    </row>
    <row r="75" spans="2:8">
      <c r="B75" s="150" t="s">
        <v>118</v>
      </c>
      <c r="C75" s="151">
        <f>SUM(C70:C74)</f>
        <v>9137.0300000000007</v>
      </c>
      <c r="D75" s="152">
        <f t="shared" ref="D75:H75" si="29">SUM(D70:D74)</f>
        <v>9957.8584838785337</v>
      </c>
      <c r="E75" s="152">
        <f t="shared" si="29"/>
        <v>10751.783099839024</v>
      </c>
      <c r="F75" s="152">
        <f t="shared" si="29"/>
        <v>11584.092378988178</v>
      </c>
      <c r="G75" s="152">
        <f t="shared" si="29"/>
        <v>12433.610330236985</v>
      </c>
      <c r="H75" s="152">
        <f t="shared" si="29"/>
        <v>13312.919040853438</v>
      </c>
    </row>
    <row r="76" spans="2:8">
      <c r="B76" s="116"/>
      <c r="C76" s="117"/>
      <c r="D76" s="118"/>
      <c r="E76" s="118"/>
      <c r="F76" s="118"/>
      <c r="G76" s="118"/>
      <c r="H76" s="118"/>
    </row>
    <row r="77" spans="2:8">
      <c r="B77" s="138" t="s">
        <v>119</v>
      </c>
      <c r="C77" s="139">
        <f>C59+C67+C75</f>
        <v>34534.49</v>
      </c>
      <c r="D77" s="139">
        <f t="shared" ref="D77:H77" si="30">D59+D67+D75</f>
        <v>36772.673187755812</v>
      </c>
      <c r="E77" s="139">
        <f t="shared" si="30"/>
        <v>39127.520540489015</v>
      </c>
      <c r="F77" s="139">
        <f t="shared" si="30"/>
        <v>41681.585925489351</v>
      </c>
      <c r="G77" s="139">
        <f t="shared" si="30"/>
        <v>44443.175202709856</v>
      </c>
      <c r="H77" s="139">
        <f t="shared" si="30"/>
        <v>47379.672640683944</v>
      </c>
    </row>
    <row r="78" spans="2:8">
      <c r="B78" s="116"/>
      <c r="C78" s="117"/>
      <c r="D78" s="118"/>
      <c r="E78" s="118"/>
      <c r="F78" s="118"/>
      <c r="G78" s="118"/>
      <c r="H78" s="118"/>
    </row>
    <row r="79" spans="2:8">
      <c r="B79" s="154" t="s">
        <v>120</v>
      </c>
      <c r="C79" s="155">
        <f>C77-C53</f>
        <v>0</v>
      </c>
      <c r="D79" s="155">
        <f t="shared" ref="D79:H79" si="31">ROUND(D77-D53,6)</f>
        <v>0</v>
      </c>
      <c r="E79" s="155">
        <f t="shared" si="31"/>
        <v>0</v>
      </c>
      <c r="F79" s="155">
        <f t="shared" si="31"/>
        <v>0</v>
      </c>
      <c r="G79" s="155">
        <f t="shared" si="31"/>
        <v>0</v>
      </c>
      <c r="H79" s="155">
        <f t="shared" si="31"/>
        <v>0</v>
      </c>
    </row>
    <row r="80" spans="2:8">
      <c r="B80" s="116"/>
      <c r="C80" s="117"/>
      <c r="D80" s="118"/>
      <c r="E80" s="118"/>
      <c r="F80" s="118"/>
      <c r="G80" s="118"/>
      <c r="H80" s="118"/>
    </row>
    <row r="81" spans="2:9">
      <c r="B81" s="142"/>
      <c r="C81" s="127"/>
      <c r="D81" s="134"/>
      <c r="E81" s="134"/>
      <c r="F81" s="134"/>
      <c r="G81" s="134"/>
      <c r="H81" s="134"/>
    </row>
    <row r="82" spans="2:9">
      <c r="B82" s="231" t="s">
        <v>173</v>
      </c>
      <c r="C82" s="156" t="s">
        <v>62</v>
      </c>
      <c r="D82" s="157" t="s">
        <v>164</v>
      </c>
      <c r="E82" s="157" t="s">
        <v>165</v>
      </c>
      <c r="F82" s="157" t="s">
        <v>166</v>
      </c>
      <c r="G82" s="157" t="s">
        <v>167</v>
      </c>
      <c r="H82" s="158" t="s">
        <v>168</v>
      </c>
    </row>
    <row r="83" spans="2:9">
      <c r="B83" s="51" t="s">
        <v>123</v>
      </c>
      <c r="C83" s="243"/>
      <c r="D83" s="243"/>
      <c r="E83" s="243"/>
      <c r="F83" s="243"/>
      <c r="G83" s="243"/>
      <c r="H83" s="243"/>
    </row>
    <row r="84" spans="2:9">
      <c r="B84" s="159" t="s">
        <v>124</v>
      </c>
      <c r="C84" s="117">
        <v>6003.44</v>
      </c>
      <c r="D84" s="118">
        <f>D23</f>
        <v>6764.8434449999968</v>
      </c>
      <c r="E84" s="118">
        <f>E23</f>
        <v>7436.4310703719984</v>
      </c>
      <c r="F84" s="118">
        <f>F23</f>
        <v>8190.7973643190799</v>
      </c>
      <c r="G84" s="118">
        <f>G23</f>
        <v>9087.1517372157377</v>
      </c>
      <c r="H84" s="118">
        <f>H23</f>
        <v>9764.5427052267441</v>
      </c>
    </row>
    <row r="85" spans="2:9">
      <c r="B85" s="147" t="s">
        <v>125</v>
      </c>
      <c r="C85" s="117"/>
      <c r="D85" s="118"/>
      <c r="E85" s="118">
        <f t="shared" ref="E85:H85" si="32">E16</f>
        <v>1279.966621455</v>
      </c>
      <c r="F85" s="118">
        <f t="shared" si="32"/>
        <v>1395.1636173859501</v>
      </c>
      <c r="G85" s="118">
        <f t="shared" si="32"/>
        <v>1513.752524863756</v>
      </c>
      <c r="H85" s="118">
        <f t="shared" si="32"/>
        <v>1634.8527268528567</v>
      </c>
      <c r="I85" s="10"/>
    </row>
    <row r="86" spans="2:9">
      <c r="B86" s="147" t="s">
        <v>126</v>
      </c>
      <c r="C86" s="117">
        <v>1228.8499999999999</v>
      </c>
      <c r="D86" s="118">
        <f>D16</f>
        <v>1168.9192889999999</v>
      </c>
      <c r="E86" s="118">
        <f t="shared" ref="E86:H86" si="33">E16</f>
        <v>1279.966621455</v>
      </c>
      <c r="F86" s="118">
        <f t="shared" si="33"/>
        <v>1395.1636173859501</v>
      </c>
      <c r="G86" s="118">
        <f t="shared" si="33"/>
        <v>1513.752524863756</v>
      </c>
      <c r="H86" s="118">
        <f t="shared" si="33"/>
        <v>1634.8527268528567</v>
      </c>
      <c r="I86" s="10"/>
    </row>
    <row r="87" spans="2:9">
      <c r="B87" s="147" t="s">
        <v>127</v>
      </c>
      <c r="C87" s="117">
        <v>195.41</v>
      </c>
      <c r="D87" s="118">
        <f>D19</f>
        <v>194.81988150000001</v>
      </c>
      <c r="E87" s="118">
        <f>E19</f>
        <v>213.32777024250001</v>
      </c>
      <c r="F87" s="118">
        <f>F19</f>
        <v>232.52726956432502</v>
      </c>
      <c r="G87" s="118">
        <f>G19</f>
        <v>252.29208747729265</v>
      </c>
      <c r="H87" s="118">
        <f>H19</f>
        <v>272.47545447547611</v>
      </c>
      <c r="I87" s="10"/>
    </row>
    <row r="88" spans="2:9">
      <c r="B88" s="147" t="s">
        <v>174</v>
      </c>
      <c r="C88" s="117">
        <v>-165.59</v>
      </c>
      <c r="D88" s="118">
        <f>-D20</f>
        <v>-185.59</v>
      </c>
      <c r="E88" s="118">
        <f>-E20</f>
        <v>-205.59</v>
      </c>
      <c r="F88" s="118">
        <f>-F20</f>
        <v>-225.59</v>
      </c>
      <c r="G88" s="118">
        <f>-G20</f>
        <v>-245.59</v>
      </c>
      <c r="H88" s="118">
        <f>-H20</f>
        <v>-265.59000000000003</v>
      </c>
      <c r="I88" s="10"/>
    </row>
    <row r="89" spans="2:9">
      <c r="B89" s="147" t="s">
        <v>175</v>
      </c>
      <c r="C89" s="117">
        <v>-274.01</v>
      </c>
      <c r="D89" s="118">
        <f>C46-D46</f>
        <v>-448.72852000000057</v>
      </c>
      <c r="E89" s="118">
        <f>D46-E46</f>
        <v>-466.50020940000013</v>
      </c>
      <c r="F89" s="118">
        <f>E46-F46</f>
        <v>-483.93258564600001</v>
      </c>
      <c r="G89" s="118">
        <f>F46-G46</f>
        <v>-498.18171177891054</v>
      </c>
      <c r="H89" s="118">
        <f>G46-H46</f>
        <v>-508.73144214599415</v>
      </c>
      <c r="I89" s="10"/>
    </row>
    <row r="90" spans="2:9">
      <c r="B90" s="160" t="s">
        <v>176</v>
      </c>
      <c r="C90" s="117">
        <v>975.58</v>
      </c>
      <c r="D90" s="118">
        <f>C45-D45</f>
        <v>-645.33460700000069</v>
      </c>
      <c r="E90" s="118">
        <f>D45-E45</f>
        <v>-582.41003259599984</v>
      </c>
      <c r="F90" s="118">
        <f>E45-F45</f>
        <v>-614.05083630103491</v>
      </c>
      <c r="G90" s="118">
        <f>F45-G45</f>
        <v>-615.73539511139552</v>
      </c>
      <c r="H90" s="118">
        <f>G45-H45</f>
        <v>-656.09766968067561</v>
      </c>
      <c r="I90" s="10"/>
    </row>
    <row r="91" spans="2:9">
      <c r="B91" s="147" t="s">
        <v>177</v>
      </c>
      <c r="C91" s="117">
        <v>396.07</v>
      </c>
      <c r="D91" s="118">
        <f>D71-C71</f>
        <v>457.15759140000046</v>
      </c>
      <c r="E91" s="118">
        <f t="shared" ref="E91:H91" si="34">E71-D71</f>
        <v>393.82011727920053</v>
      </c>
      <c r="F91" s="118">
        <f t="shared" si="34"/>
        <v>415.21532740355724</v>
      </c>
      <c r="G91" s="118">
        <f t="shared" si="34"/>
        <v>416.35441002770403</v>
      </c>
      <c r="H91" s="118">
        <f t="shared" si="34"/>
        <v>443.64699568883862</v>
      </c>
    </row>
    <row r="92" spans="2:9">
      <c r="B92" s="138" t="s">
        <v>178</v>
      </c>
      <c r="C92" s="161">
        <v>529.49</v>
      </c>
      <c r="D92" s="162">
        <f>D74-C74</f>
        <v>353.32020000000011</v>
      </c>
      <c r="E92" s="162">
        <f t="shared" ref="E92:H92" si="35">E74-D74</f>
        <v>386.88561899999968</v>
      </c>
      <c r="F92" s="162">
        <f t="shared" si="35"/>
        <v>401.34292370999992</v>
      </c>
      <c r="G92" s="162">
        <f t="shared" si="35"/>
        <v>413.16024313034995</v>
      </c>
      <c r="H92" s="162">
        <f t="shared" si="35"/>
        <v>421.90951886722814</v>
      </c>
    </row>
    <row r="93" spans="2:9">
      <c r="B93" s="138" t="s">
        <v>138</v>
      </c>
      <c r="C93" s="139">
        <v>8662</v>
      </c>
      <c r="D93" s="162">
        <f>SUM(D84,D86:D92)</f>
        <v>7659.407279899995</v>
      </c>
      <c r="E93" s="162">
        <f>SUM(E84,E86:E92)</f>
        <v>8455.9309563526986</v>
      </c>
      <c r="F93" s="162">
        <f>SUM(F84,F86:F92)</f>
        <v>9311.4730804358769</v>
      </c>
      <c r="G93" s="162">
        <f>SUM(G84,G86:G92)</f>
        <v>10323.203895824536</v>
      </c>
      <c r="H93" s="162">
        <f>SUM(H84,H86:H92)</f>
        <v>11107.008289284473</v>
      </c>
    </row>
    <row r="94" spans="2:9">
      <c r="B94" s="163" t="s">
        <v>179</v>
      </c>
      <c r="C94" s="139">
        <v>-1573.82</v>
      </c>
      <c r="D94" s="139">
        <f>-(D24-(D73-C73)-(D65-C65))</f>
        <v>-1698.0883650986732</v>
      </c>
      <c r="E94" s="139">
        <f>-(E24-(E73-D73)-(E65-D65))</f>
        <v>-1865.7817640724306</v>
      </c>
      <c r="F94" s="139">
        <f>-(F24-(F73-E73)-(F65-E65))</f>
        <v>-2055.1750679081324</v>
      </c>
      <c r="G94" s="139">
        <f>-(G24-(G73-F73)-(G65-F65))</f>
        <v>-2279.6351178483915</v>
      </c>
      <c r="H94" s="164">
        <f>-(H24-(H73-G73)-(H65-G65))</f>
        <v>-2457.5711981893483</v>
      </c>
    </row>
    <row r="95" spans="2:9">
      <c r="B95" s="163" t="s">
        <v>140</v>
      </c>
      <c r="C95" s="139">
        <v>7088.18</v>
      </c>
      <c r="D95" s="162">
        <f>SUM(D93:D94)</f>
        <v>5961.3189148013216</v>
      </c>
      <c r="E95" s="162">
        <f t="shared" ref="E95:H95" si="36">SUM(E93:E94)</f>
        <v>6590.1491922802679</v>
      </c>
      <c r="F95" s="162">
        <f t="shared" si="36"/>
        <v>7256.2980125277445</v>
      </c>
      <c r="G95" s="162">
        <f t="shared" si="36"/>
        <v>8043.5687779761447</v>
      </c>
      <c r="H95" s="165">
        <f t="shared" si="36"/>
        <v>8649.4370910951257</v>
      </c>
    </row>
    <row r="96" spans="2:9">
      <c r="B96" s="116"/>
      <c r="C96" s="117"/>
      <c r="D96" s="118"/>
      <c r="E96" s="118">
        <f t="shared" ref="E96:H96" si="37">E95</f>
        <v>6590.1491922802679</v>
      </c>
      <c r="F96" s="118">
        <f t="shared" si="37"/>
        <v>7256.2980125277445</v>
      </c>
      <c r="G96" s="118">
        <f t="shared" si="37"/>
        <v>8043.5687779761447</v>
      </c>
      <c r="H96" s="118">
        <f t="shared" si="37"/>
        <v>8649.4370910951257</v>
      </c>
    </row>
    <row r="97" spans="2:8">
      <c r="B97" s="51" t="s">
        <v>141</v>
      </c>
      <c r="C97" s="243"/>
      <c r="D97" s="243"/>
      <c r="E97" s="243"/>
      <c r="F97" s="243"/>
      <c r="G97" s="243"/>
      <c r="H97" s="243"/>
    </row>
    <row r="98" spans="2:8">
      <c r="B98" s="159" t="s">
        <v>180</v>
      </c>
      <c r="C98" s="117">
        <v>-1675.69</v>
      </c>
      <c r="D98" s="118">
        <f>-(D35-C35+D16)</f>
        <v>-1948.1988150000002</v>
      </c>
      <c r="E98" s="118">
        <f>-(E35-D35+E16)</f>
        <v>-2133.2777024250008</v>
      </c>
      <c r="F98" s="118">
        <f>-(F35-E35+F16)</f>
        <v>-2325.2726956432512</v>
      </c>
      <c r="G98" s="118">
        <f>-(G35-F35+G16)</f>
        <v>-2522.9208747729263</v>
      </c>
      <c r="H98" s="118">
        <f>-(H35-G35+H16)</f>
        <v>-2724.7545447547627</v>
      </c>
    </row>
    <row r="99" spans="2:8">
      <c r="B99" s="147" t="s">
        <v>181</v>
      </c>
      <c r="C99" s="117">
        <v>0</v>
      </c>
      <c r="D99" s="118">
        <f>-(D38-C38)</f>
        <v>-4.7527999999999793</v>
      </c>
      <c r="E99" s="118">
        <f t="shared" ref="E99:H99" si="38">-(E38-D38)</f>
        <v>-4.8003279999999791</v>
      </c>
      <c r="F99" s="118">
        <f t="shared" si="38"/>
        <v>-4.8483312800000249</v>
      </c>
      <c r="G99" s="118">
        <f t="shared" si="38"/>
        <v>-4.8968145928000126</v>
      </c>
      <c r="H99" s="118">
        <f t="shared" si="38"/>
        <v>-4.9457827387279849</v>
      </c>
    </row>
    <row r="100" spans="2:8">
      <c r="B100" s="147" t="s">
        <v>182</v>
      </c>
      <c r="C100" s="117">
        <v>-221.73</v>
      </c>
      <c r="D100" s="118">
        <f>-(D36-C36)</f>
        <v>-40.3753999999999</v>
      </c>
      <c r="E100" s="118">
        <f t="shared" ref="E100:H100" si="39">-(E36-D36)</f>
        <v>-41.182908000000225</v>
      </c>
      <c r="F100" s="118">
        <f t="shared" si="39"/>
        <v>-42.006566160000148</v>
      </c>
      <c r="G100" s="118">
        <f t="shared" si="39"/>
        <v>-42.846697483199932</v>
      </c>
      <c r="H100" s="118">
        <f t="shared" si="39"/>
        <v>-43.703631432863858</v>
      </c>
    </row>
    <row r="101" spans="2:8">
      <c r="B101" s="147" t="s">
        <v>183</v>
      </c>
      <c r="C101" s="117">
        <v>149.03</v>
      </c>
      <c r="D101" s="118">
        <f>D20</f>
        <v>185.59</v>
      </c>
      <c r="E101" s="118">
        <f>E20</f>
        <v>205.59</v>
      </c>
      <c r="F101" s="118">
        <f>F20</f>
        <v>225.59</v>
      </c>
      <c r="G101" s="118">
        <f>G20</f>
        <v>245.59</v>
      </c>
      <c r="H101" s="118">
        <f>H20</f>
        <v>265.59000000000003</v>
      </c>
    </row>
    <row r="102" spans="2:8">
      <c r="B102" s="138" t="s">
        <v>184</v>
      </c>
      <c r="C102" s="139">
        <v>-1661.12</v>
      </c>
      <c r="D102" s="139">
        <f>SUM(D98:D101)</f>
        <v>-1807.7370150000002</v>
      </c>
      <c r="E102" s="139">
        <f t="shared" ref="E102:H102" si="40">SUM(E98:E101)</f>
        <v>-1973.6709384250009</v>
      </c>
      <c r="F102" s="139">
        <f t="shared" si="40"/>
        <v>-2146.5375930832511</v>
      </c>
      <c r="G102" s="139">
        <f t="shared" si="40"/>
        <v>-2325.0743868489262</v>
      </c>
      <c r="H102" s="139">
        <f t="shared" si="40"/>
        <v>-2507.8139589263542</v>
      </c>
    </row>
    <row r="103" spans="2:8">
      <c r="B103" s="116"/>
      <c r="C103" s="117"/>
      <c r="D103" s="118"/>
      <c r="E103" s="118">
        <f t="shared" ref="E103:H103" si="41">E92+E96+E102</f>
        <v>5003.3638728552669</v>
      </c>
      <c r="F103" s="118">
        <f t="shared" si="41"/>
        <v>5511.1033431544929</v>
      </c>
      <c r="G103" s="118">
        <f t="shared" si="41"/>
        <v>6131.6546342575675</v>
      </c>
      <c r="H103" s="118">
        <f t="shared" si="41"/>
        <v>6563.532651036001</v>
      </c>
    </row>
    <row r="104" spans="2:8">
      <c r="B104" s="35" t="s">
        <v>157</v>
      </c>
      <c r="C104" s="243"/>
      <c r="D104" s="243"/>
      <c r="E104" s="243">
        <f t="shared" ref="E104:H104" si="42">D47</f>
        <v>1393.3923347558105</v>
      </c>
      <c r="F104" s="243">
        <f t="shared" si="42"/>
        <v>1800.0351285230174</v>
      </c>
      <c r="G104" s="243">
        <f t="shared" si="42"/>
        <v>2279.1531158790158</v>
      </c>
      <c r="H104" s="243">
        <f t="shared" si="42"/>
        <v>2869.9134242240516</v>
      </c>
    </row>
    <row r="105" spans="2:8">
      <c r="B105" s="138" t="s">
        <v>160</v>
      </c>
      <c r="C105" s="161">
        <v>-200.75</v>
      </c>
      <c r="D105" s="162">
        <f>-D19</f>
        <v>-194.81988150000001</v>
      </c>
      <c r="E105" s="162">
        <f t="shared" ref="E105:H105" si="43">-E19</f>
        <v>-213.32777024250001</v>
      </c>
      <c r="F105" s="162">
        <f t="shared" si="43"/>
        <v>-232.52726956432502</v>
      </c>
      <c r="G105" s="162">
        <f t="shared" si="43"/>
        <v>-252.29208747729265</v>
      </c>
      <c r="H105" s="162">
        <f t="shared" si="43"/>
        <v>-272.47545447547611</v>
      </c>
    </row>
    <row r="106" spans="2:8">
      <c r="B106" s="116" t="s">
        <v>158</v>
      </c>
      <c r="C106" s="117">
        <v>-14.45</v>
      </c>
      <c r="D106" s="118">
        <f>(D63+D70)-(C63+C70)</f>
        <v>0</v>
      </c>
      <c r="E106" s="118">
        <f>(E63+E70)-(D63+D70)</f>
        <v>0</v>
      </c>
      <c r="F106" s="118">
        <f>(F63+F70)-(E63+E70)</f>
        <v>0</v>
      </c>
      <c r="G106" s="118">
        <f>(G63+G70)-(F63+F70)</f>
        <v>0</v>
      </c>
      <c r="H106" s="118">
        <f>(H63+H70)-(G63+G70)</f>
        <v>0</v>
      </c>
    </row>
    <row r="107" spans="2:8">
      <c r="B107" s="116" t="s">
        <v>185</v>
      </c>
      <c r="C107" s="117">
        <v>-293.7</v>
      </c>
      <c r="D107" s="118">
        <f>(D64+D72)-(C64+C72)</f>
        <v>-32.07196078431366</v>
      </c>
      <c r="E107" s="118">
        <f>(E64+E72)-(D64+D72)</f>
        <v>-31.443098808151035</v>
      </c>
      <c r="F107" s="118">
        <f>(F64+F72)-(E64+E72)</f>
        <v>-30.82656745897134</v>
      </c>
      <c r="G107" s="118">
        <f>(G64+G72)-(F64+F72)</f>
        <v>-30.222124959775556</v>
      </c>
      <c r="H107" s="118">
        <f>(H64+H72)-(G64+G72)</f>
        <v>-29.629534274289881</v>
      </c>
    </row>
    <row r="108" spans="2:8">
      <c r="B108" s="116" t="s">
        <v>186</v>
      </c>
      <c r="C108" s="117">
        <v>-3166.52</v>
      </c>
      <c r="D108" s="118">
        <f>-D26*'Assumptions and Drivers'!C19</f>
        <v>-3606.977722761198</v>
      </c>
      <c r="E108" s="118">
        <f>-E26*'Assumptions and Drivers'!D19</f>
        <v>-3965.0645910374092</v>
      </c>
      <c r="F108" s="118">
        <f>-F26*'Assumptions and Drivers'!E19</f>
        <v>-4367.2885950651989</v>
      </c>
      <c r="G108" s="118">
        <f>-G26*'Assumptions and Drivers'!F19</f>
        <v>-4845.2198703451149</v>
      </c>
      <c r="H108" s="118">
        <f>-H26*'Assumptions and Drivers'!G19</f>
        <v>-5206.4010493450896</v>
      </c>
    </row>
    <row r="109" spans="2:8">
      <c r="B109" s="138" t="s">
        <v>162</v>
      </c>
      <c r="C109" s="139">
        <v>-3675.42</v>
      </c>
      <c r="D109" s="162">
        <f>SUM(D105:D108)</f>
        <v>-3833.8695650455115</v>
      </c>
      <c r="E109" s="162">
        <f>SUM(E105:E108)</f>
        <v>-4209.8354600880602</v>
      </c>
      <c r="F109" s="162">
        <f>SUM(F105:F108)</f>
        <v>-4630.6424320884953</v>
      </c>
      <c r="G109" s="162">
        <f>SUM(G105:G108)</f>
        <v>-5127.7340827821827</v>
      </c>
      <c r="H109" s="162">
        <f>SUM(H105:H108)</f>
        <v>-5508.5060380948553</v>
      </c>
    </row>
    <row r="110" spans="2:8">
      <c r="B110" s="138" t="s">
        <v>187</v>
      </c>
      <c r="C110" s="139"/>
      <c r="D110" s="139">
        <f>SUM(D95,D102,D109)</f>
        <v>319.71233475581039</v>
      </c>
      <c r="E110" s="139">
        <f>SUM(E95,E102,E109)</f>
        <v>406.64279376720697</v>
      </c>
      <c r="F110" s="139">
        <f>SUM(F95,F102,F109)</f>
        <v>479.11798735599859</v>
      </c>
      <c r="G110" s="139">
        <f>SUM(G95,G102,G109)</f>
        <v>590.76030834503581</v>
      </c>
      <c r="H110" s="139">
        <f>SUM(H95,H102,H109)</f>
        <v>633.11709407391663</v>
      </c>
    </row>
    <row r="111" spans="2:8">
      <c r="B111" s="116" t="s">
        <v>188</v>
      </c>
      <c r="C111" s="117"/>
      <c r="D111" s="118">
        <f>C47</f>
        <v>1073.68</v>
      </c>
      <c r="E111" s="118">
        <f>D112</f>
        <v>1393.3923347558105</v>
      </c>
      <c r="F111" s="118">
        <f>E112</f>
        <v>1800.0351285230174</v>
      </c>
      <c r="G111" s="118">
        <f>F112</f>
        <v>2279.1531158790158</v>
      </c>
      <c r="H111" s="118">
        <f>G112</f>
        <v>2869.9134242240516</v>
      </c>
    </row>
    <row r="112" spans="2:8">
      <c r="B112" s="138" t="s">
        <v>189</v>
      </c>
      <c r="C112" s="139"/>
      <c r="D112" s="139">
        <f>D111+D110</f>
        <v>1393.3923347558105</v>
      </c>
      <c r="E112" s="139">
        <f>E111+E110</f>
        <v>1800.0351285230174</v>
      </c>
      <c r="F112" s="139">
        <f>F111+F110</f>
        <v>2279.1531158790158</v>
      </c>
      <c r="G112" s="139">
        <f>G111+G110</f>
        <v>2869.9134242240516</v>
      </c>
      <c r="H112" s="139">
        <f>H111+H110</f>
        <v>3503.0305182979682</v>
      </c>
    </row>
    <row r="113" spans="2:8">
      <c r="B113" s="50"/>
      <c r="C113" s="30"/>
      <c r="D113" s="30"/>
      <c r="E113" s="30"/>
      <c r="F113" s="30"/>
      <c r="G113" s="30"/>
      <c r="H113" s="30"/>
    </row>
    <row r="114" spans="2:8">
      <c r="B114" s="50"/>
      <c r="C114" s="30"/>
      <c r="D114" s="30"/>
      <c r="E114" s="30"/>
      <c r="F114" s="30"/>
      <c r="G114" s="30"/>
      <c r="H114" s="30"/>
    </row>
    <row r="115" spans="2:8">
      <c r="B115" s="50"/>
      <c r="C115" s="30"/>
      <c r="D115" s="30"/>
      <c r="E115" s="30"/>
      <c r="F115" s="30"/>
      <c r="G115" s="30"/>
      <c r="H115" s="30"/>
    </row>
  </sheetData>
  <mergeCells count="1">
    <mergeCell ref="D2:H2"/>
  </mergeCells>
  <conditionalFormatting sqref="C79:H79">
    <cfRule type="expression" dxfId="1" priority="1">
      <formula>ABS(C79)&gt;0.1</formula>
    </cfRule>
    <cfRule type="expression" dxfId="0" priority="2">
      <formula>ABS(C79)&lt;=0.1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41"/>
  <sheetViews>
    <sheetView showGridLines="0" topLeftCell="A25" workbookViewId="0">
      <selection activeCell="E11" sqref="E11"/>
    </sheetView>
  </sheetViews>
  <sheetFormatPr defaultRowHeight="15"/>
  <cols>
    <col min="2" max="2" width="38" customWidth="1"/>
    <col min="3" max="3" width="18" customWidth="1"/>
    <col min="4" max="4" width="14" customWidth="1"/>
    <col min="5" max="5" width="30" customWidth="1"/>
    <col min="6" max="8" width="16" customWidth="1"/>
  </cols>
  <sheetData>
    <row r="2" spans="2:8" ht="18">
      <c r="B2" s="222" t="s">
        <v>190</v>
      </c>
      <c r="C2" s="222"/>
      <c r="D2" s="222"/>
      <c r="E2" s="222"/>
      <c r="F2" s="222"/>
      <c r="G2" s="222"/>
      <c r="H2" s="222"/>
    </row>
    <row r="3" spans="2:8">
      <c r="B3" s="180" t="s">
        <v>191</v>
      </c>
      <c r="C3" s="180" t="s">
        <v>192</v>
      </c>
      <c r="D3" s="180" t="s">
        <v>193</v>
      </c>
      <c r="E3" s="180" t="s">
        <v>194</v>
      </c>
      <c r="F3" s="180" t="s">
        <v>195</v>
      </c>
      <c r="G3" s="180" t="s">
        <v>196</v>
      </c>
      <c r="H3" s="180" t="s">
        <v>197</v>
      </c>
    </row>
    <row r="4" spans="2:8">
      <c r="B4" s="11"/>
      <c r="C4" s="11"/>
      <c r="D4" s="11"/>
      <c r="E4" s="11"/>
      <c r="F4" s="11"/>
      <c r="G4" s="11"/>
      <c r="H4" s="11"/>
    </row>
    <row r="5" spans="2:8">
      <c r="B5" s="223" t="s">
        <v>198</v>
      </c>
      <c r="C5" s="223"/>
      <c r="D5" s="223"/>
      <c r="E5" s="223"/>
      <c r="F5" s="223"/>
      <c r="G5" s="223"/>
      <c r="H5" s="223"/>
    </row>
    <row r="6" spans="2:8">
      <c r="B6" s="11" t="s">
        <v>199</v>
      </c>
      <c r="C6" s="16">
        <v>6.6000000000000003E-2</v>
      </c>
      <c r="D6" s="11"/>
      <c r="E6" s="11" t="s">
        <v>200</v>
      </c>
      <c r="F6" s="16">
        <v>0.05</v>
      </c>
      <c r="G6" s="11"/>
      <c r="H6" s="11"/>
    </row>
    <row r="7" spans="2:8">
      <c r="B7" s="11" t="s">
        <v>201</v>
      </c>
      <c r="C7" s="16">
        <v>5.5E-2</v>
      </c>
      <c r="D7" s="11"/>
      <c r="E7" s="11" t="s">
        <v>202</v>
      </c>
      <c r="F7" s="17">
        <v>95.92</v>
      </c>
      <c r="G7" s="11"/>
      <c r="H7" s="11"/>
    </row>
    <row r="8" spans="2:8">
      <c r="B8" s="11" t="s">
        <v>203</v>
      </c>
      <c r="C8" s="16">
        <v>0.65</v>
      </c>
      <c r="D8" s="11"/>
      <c r="E8" s="11" t="s">
        <v>204</v>
      </c>
      <c r="F8" s="17" t="s">
        <v>205</v>
      </c>
      <c r="G8" s="11"/>
      <c r="H8" s="11"/>
    </row>
    <row r="9" spans="2:8">
      <c r="B9" s="11" t="s">
        <v>206</v>
      </c>
      <c r="C9" s="18">
        <f>C6+C7*C8</f>
        <v>0.10175000000000001</v>
      </c>
      <c r="D9" s="11"/>
      <c r="E9" s="11" t="s">
        <v>207</v>
      </c>
      <c r="F9" s="11" t="s">
        <v>208</v>
      </c>
      <c r="G9" s="11"/>
      <c r="H9" s="11"/>
    </row>
    <row r="10" spans="2:8">
      <c r="B10" s="11" t="s">
        <v>209</v>
      </c>
      <c r="C10" s="16">
        <v>0.08</v>
      </c>
      <c r="D10" s="11"/>
      <c r="E10" s="11"/>
      <c r="F10" s="11"/>
      <c r="G10" s="11"/>
      <c r="H10" s="11"/>
    </row>
    <row r="11" spans="2:8">
      <c r="B11" s="11" t="s">
        <v>210</v>
      </c>
      <c r="C11" s="16">
        <v>0.95</v>
      </c>
      <c r="D11" s="11"/>
      <c r="E11" s="11"/>
      <c r="F11" s="11"/>
      <c r="G11" s="11"/>
      <c r="H11" s="11"/>
    </row>
    <row r="12" spans="2:8">
      <c r="B12" s="11" t="s">
        <v>211</v>
      </c>
      <c r="C12" s="16">
        <v>0.05</v>
      </c>
      <c r="D12" s="11"/>
      <c r="E12" s="11"/>
      <c r="F12" s="11"/>
      <c r="G12" s="11"/>
      <c r="H12" s="11"/>
    </row>
    <row r="13" spans="2:8">
      <c r="B13" s="11" t="s">
        <v>35</v>
      </c>
      <c r="C13" s="18">
        <f>C9*C11+C10*(1-'Assumptions and Drivers'!C17)*C12</f>
        <v>9.9622500000000003E-2</v>
      </c>
      <c r="D13" s="11"/>
      <c r="E13" s="11"/>
      <c r="F13" s="11"/>
      <c r="G13" s="11"/>
      <c r="H13" s="11"/>
    </row>
    <row r="14" spans="2:8">
      <c r="B14" s="11"/>
      <c r="C14" s="11"/>
      <c r="D14" s="11"/>
      <c r="E14" s="11"/>
      <c r="F14" s="11"/>
      <c r="G14" s="11"/>
      <c r="H14" s="11"/>
    </row>
    <row r="15" spans="2:8">
      <c r="B15" s="223" t="s">
        <v>212</v>
      </c>
      <c r="C15" s="223"/>
      <c r="D15" s="223"/>
      <c r="E15" s="223"/>
      <c r="F15" s="223"/>
      <c r="G15" s="223"/>
      <c r="H15" s="223"/>
    </row>
    <row r="16" spans="2:8">
      <c r="B16" s="166" t="s">
        <v>213</v>
      </c>
      <c r="C16" s="166" t="s">
        <v>62</v>
      </c>
      <c r="D16" s="166" t="s">
        <v>164</v>
      </c>
      <c r="E16" s="166" t="s">
        <v>165</v>
      </c>
      <c r="F16" s="166" t="s">
        <v>166</v>
      </c>
      <c r="G16" s="166" t="s">
        <v>167</v>
      </c>
      <c r="H16" s="166" t="s">
        <v>168</v>
      </c>
    </row>
    <row r="17" spans="2:8">
      <c r="B17" s="11" t="s">
        <v>214</v>
      </c>
      <c r="C17" s="12">
        <f>'Financial Model'!C5</f>
        <v>35583.54</v>
      </c>
      <c r="D17" s="12">
        <f>'Financial Model'!D5</f>
        <v>38963.976300000002</v>
      </c>
      <c r="E17" s="12">
        <f>'Financial Model'!E5</f>
        <v>42665.554048500002</v>
      </c>
      <c r="F17" s="12">
        <f>'Financial Model'!F5</f>
        <v>46505.453912865007</v>
      </c>
      <c r="G17" s="12">
        <f>'Financial Model'!G5</f>
        <v>50458.417495458532</v>
      </c>
      <c r="H17" s="12">
        <f>'Financial Model'!H5</f>
        <v>54495.090895095222</v>
      </c>
    </row>
    <row r="18" spans="2:8">
      <c r="B18" s="11" t="s">
        <v>215</v>
      </c>
      <c r="C18" s="12">
        <f>'Financial Model'!C18</f>
        <v>6190.8700000000044</v>
      </c>
      <c r="D18" s="12">
        <f>'Financial Model'!D18</f>
        <v>6774.0733264999963</v>
      </c>
      <c r="E18" s="12">
        <f>'Financial Model'!E18</f>
        <v>7444.1688406144985</v>
      </c>
      <c r="F18" s="12">
        <f>'Financial Model'!F18</f>
        <v>8197.734633883405</v>
      </c>
      <c r="G18" s="12">
        <f>'Financial Model'!G18</f>
        <v>9093.8538246930311</v>
      </c>
      <c r="H18" s="12">
        <f>'Financial Model'!H18</f>
        <v>9771.42815970222</v>
      </c>
    </row>
    <row r="19" spans="2:8">
      <c r="B19" s="11" t="s">
        <v>216</v>
      </c>
      <c r="C19" s="18">
        <f>'Financial Model'!C24/'Financial Model'!C23</f>
        <v>0.26797136308516428</v>
      </c>
      <c r="D19" s="18">
        <f>'Assumptions and Drivers'!C17</f>
        <v>0.26</v>
      </c>
      <c r="E19" s="18">
        <f>'Assumptions and Drivers'!D17</f>
        <v>0.26</v>
      </c>
      <c r="F19" s="18">
        <f>'Assumptions and Drivers'!E17</f>
        <v>0.26</v>
      </c>
      <c r="G19" s="18">
        <f>'Assumptions and Drivers'!F17</f>
        <v>0.26</v>
      </c>
      <c r="H19" s="18">
        <f>'Assumptions and Drivers'!G17</f>
        <v>0.26</v>
      </c>
    </row>
    <row r="20" spans="2:8">
      <c r="B20" s="11" t="s">
        <v>217</v>
      </c>
      <c r="C20" s="12">
        <f t="shared" ref="C20:H20" si="0">C18*(1-C19)</f>
        <v>4531.894127416952</v>
      </c>
      <c r="D20" s="12">
        <f t="shared" si="0"/>
        <v>5012.8142616099967</v>
      </c>
      <c r="E20" s="12">
        <f t="shared" si="0"/>
        <v>5508.6849420547287</v>
      </c>
      <c r="F20" s="12">
        <f t="shared" si="0"/>
        <v>6066.3236290737195</v>
      </c>
      <c r="G20" s="12">
        <f t="shared" si="0"/>
        <v>6729.4518302728429</v>
      </c>
      <c r="H20" s="12">
        <f t="shared" si="0"/>
        <v>7230.8568381796431</v>
      </c>
    </row>
    <row r="21" spans="2:8">
      <c r="B21" s="11" t="s">
        <v>218</v>
      </c>
      <c r="C21" s="12">
        <f>'Financial Model'!C16</f>
        <v>1228.8499999999999</v>
      </c>
      <c r="D21" s="12">
        <f>'Financial Model'!D16</f>
        <v>1168.9192889999999</v>
      </c>
      <c r="E21" s="12">
        <f>'Financial Model'!E16</f>
        <v>1279.966621455</v>
      </c>
      <c r="F21" s="12">
        <f>'Financial Model'!F16</f>
        <v>1395.1636173859501</v>
      </c>
      <c r="G21" s="12">
        <f>'Financial Model'!G16</f>
        <v>1513.752524863756</v>
      </c>
      <c r="H21" s="12">
        <f>'Financial Model'!H16</f>
        <v>1634.8527268528567</v>
      </c>
    </row>
    <row r="22" spans="2:8">
      <c r="B22" s="11" t="s">
        <v>219</v>
      </c>
      <c r="C22" s="12">
        <f>-'Historical data'!F104-'Historical data'!F106</f>
        <v>1897.42</v>
      </c>
      <c r="D22" s="12">
        <f>-'Financial Model'!D98-'Financial Model'!D99-'Financial Model'!D100</f>
        <v>1993.3270150000001</v>
      </c>
      <c r="E22" s="12">
        <f>-'Financial Model'!E98-'Financial Model'!E99-'Financial Model'!E100</f>
        <v>2179.2609384250009</v>
      </c>
      <c r="F22" s="12">
        <f>-'Financial Model'!F98-'Financial Model'!F99-'Financial Model'!F100</f>
        <v>2372.1275930832512</v>
      </c>
      <c r="G22" s="12">
        <f>-'Financial Model'!G98-'Financial Model'!G99-'Financial Model'!G100</f>
        <v>2570.6643868489264</v>
      </c>
      <c r="H22" s="12">
        <f>-'Financial Model'!H98-'Financial Model'!H99-'Financial Model'!H100</f>
        <v>2773.4039589263543</v>
      </c>
    </row>
    <row r="23" spans="2:8">
      <c r="B23" s="11" t="s">
        <v>220</v>
      </c>
      <c r="C23" s="12">
        <f>'Supporting Schedules'!C18</f>
        <v>5242.93</v>
      </c>
      <c r="D23" s="12">
        <f>'Supporting Schedules'!D18</f>
        <v>5526.5153355999992</v>
      </c>
      <c r="E23" s="12">
        <f>'Supporting Schedules'!E18</f>
        <v>5794.7198413167998</v>
      </c>
      <c r="F23" s="12">
        <f>'Supporting Schedules'!F18</f>
        <v>6076.1450121502767</v>
      </c>
      <c r="G23" s="12">
        <f>'Supporting Schedules'!G18</f>
        <v>6360.5474658825324</v>
      </c>
      <c r="H23" s="12">
        <f>'Supporting Schedules'!H18</f>
        <v>6659.8200631531327</v>
      </c>
    </row>
    <row r="24" spans="2:8">
      <c r="B24" s="11" t="s">
        <v>221</v>
      </c>
      <c r="C24" s="12">
        <f>'Supporting Schedules'!C19</f>
        <v>0</v>
      </c>
      <c r="D24" s="12">
        <f>'Supporting Schedules'!D19</f>
        <v>283.58533559999887</v>
      </c>
      <c r="E24" s="12">
        <f>'Supporting Schedules'!E19</f>
        <v>268.20450571680067</v>
      </c>
      <c r="F24" s="12">
        <f>'Supporting Schedules'!F19</f>
        <v>281.42517083347684</v>
      </c>
      <c r="G24" s="12">
        <f>'Supporting Schedules'!G19</f>
        <v>284.40245373225571</v>
      </c>
      <c r="H24" s="12">
        <f>'Supporting Schedules'!H19</f>
        <v>299.27259727060027</v>
      </c>
    </row>
    <row r="25" spans="2:8">
      <c r="B25" s="14" t="s">
        <v>222</v>
      </c>
      <c r="C25" s="19">
        <f t="shared" ref="C25:H25" si="1">C20+C21-C22-C24</f>
        <v>3863.3241274169523</v>
      </c>
      <c r="D25" s="19">
        <f t="shared" si="1"/>
        <v>3904.8212000099984</v>
      </c>
      <c r="E25" s="19">
        <f t="shared" si="1"/>
        <v>4341.1861193679269</v>
      </c>
      <c r="F25" s="19">
        <f t="shared" si="1"/>
        <v>4807.9344825429425</v>
      </c>
      <c r="G25" s="19">
        <f t="shared" si="1"/>
        <v>5388.1375145554166</v>
      </c>
      <c r="H25" s="19">
        <f t="shared" si="1"/>
        <v>5793.0330088355449</v>
      </c>
    </row>
    <row r="26" spans="2:8">
      <c r="B26" s="11" t="s">
        <v>223</v>
      </c>
      <c r="C26" s="20">
        <f>1</f>
        <v>1</v>
      </c>
      <c r="D26" s="20">
        <f>1/(1+$C$13)^1</f>
        <v>0.90940299966579441</v>
      </c>
      <c r="E26" s="20">
        <f>1/(1+$C$13)^2</f>
        <v>0.82701381580114486</v>
      </c>
      <c r="F26" s="20">
        <f>1/(1+$C$13)^3</f>
        <v>0.75208884485461602</v>
      </c>
      <c r="G26" s="20">
        <f>1/(1+$C$13)^4</f>
        <v>0.68395185152596993</v>
      </c>
      <c r="H26" s="20">
        <f>1/(1+$C$13)^5</f>
        <v>0.6219878654046912</v>
      </c>
    </row>
    <row r="27" spans="2:8">
      <c r="B27" s="11" t="s">
        <v>224</v>
      </c>
      <c r="C27" s="12">
        <f>C25</f>
        <v>3863.3241274169523</v>
      </c>
      <c r="D27" s="12">
        <f>D25*D26</f>
        <v>3551.0561124476794</v>
      </c>
      <c r="E27" s="12">
        <f>E25*E26</f>
        <v>3590.2208976814336</v>
      </c>
      <c r="F27" s="12">
        <f>F25*F26</f>
        <v>3615.9938911123977</v>
      </c>
      <c r="G27" s="12">
        <f>G25*G26</f>
        <v>3685.226629356715</v>
      </c>
      <c r="H27" s="12">
        <f>H25*H26</f>
        <v>3603.1962353845361</v>
      </c>
    </row>
    <row r="28" spans="2:8">
      <c r="B28" s="11"/>
      <c r="C28" s="11"/>
      <c r="D28" s="11"/>
      <c r="E28" s="11"/>
      <c r="F28" s="11"/>
      <c r="G28" s="11"/>
      <c r="H28" s="11"/>
    </row>
    <row r="29" spans="2:8">
      <c r="B29" s="223" t="s">
        <v>225</v>
      </c>
      <c r="C29" s="223"/>
      <c r="D29" s="223"/>
      <c r="E29" s="223"/>
      <c r="F29" s="223"/>
      <c r="G29" s="11"/>
      <c r="H29" s="11"/>
    </row>
    <row r="30" spans="2:8">
      <c r="B30" s="11" t="s">
        <v>226</v>
      </c>
      <c r="C30" s="12">
        <f>SUM(D27:H27)</f>
        <v>18045.693765982764</v>
      </c>
      <c r="D30" s="11"/>
      <c r="E30" s="11"/>
      <c r="F30" s="11"/>
      <c r="G30" s="11"/>
      <c r="H30" s="11"/>
    </row>
    <row r="31" spans="2:8">
      <c r="B31" s="11" t="s">
        <v>227</v>
      </c>
      <c r="C31" s="12">
        <f>H25</f>
        <v>5793.0330088355449</v>
      </c>
      <c r="D31" s="11"/>
      <c r="E31" s="11"/>
      <c r="F31" s="11"/>
      <c r="G31" s="11"/>
      <c r="H31" s="11"/>
    </row>
    <row r="32" spans="2:8">
      <c r="B32" s="11" t="s">
        <v>228</v>
      </c>
      <c r="C32" s="12">
        <f>C31*(1+$F$6)/($C$13-$F$6)</f>
        <v>122579.16588800086</v>
      </c>
      <c r="D32" s="11"/>
      <c r="E32" s="11"/>
      <c r="F32" s="11"/>
      <c r="G32" s="11"/>
      <c r="H32" s="11"/>
    </row>
    <row r="33" spans="2:8">
      <c r="B33" s="11" t="s">
        <v>229</v>
      </c>
      <c r="C33" s="12">
        <f>C32*H26</f>
        <v>76242.753733765188</v>
      </c>
      <c r="D33" s="11"/>
      <c r="E33" s="11"/>
      <c r="F33" s="11"/>
      <c r="G33" s="11"/>
      <c r="H33" s="11"/>
    </row>
    <row r="34" spans="2:8">
      <c r="B34" s="167" t="s">
        <v>230</v>
      </c>
      <c r="C34" s="168">
        <f>C30+C33</f>
        <v>94288.447499747956</v>
      </c>
      <c r="D34" s="11"/>
      <c r="E34" s="11"/>
      <c r="F34" s="11"/>
      <c r="G34" s="11"/>
      <c r="H34" s="11"/>
    </row>
    <row r="35" spans="2:8">
      <c r="B35" s="11" t="s">
        <v>231</v>
      </c>
      <c r="C35" s="12">
        <f>'Supporting Schedules'!C26</f>
        <v>3928.9300000000003</v>
      </c>
      <c r="D35" s="11"/>
      <c r="E35" s="11"/>
      <c r="F35" s="11"/>
      <c r="G35" s="11"/>
      <c r="H35" s="11"/>
    </row>
    <row r="36" spans="2:8">
      <c r="B36" s="11" t="s">
        <v>232</v>
      </c>
      <c r="C36" s="12">
        <f>'Financial Model'!C47+'Financial Model'!C48</f>
        <v>7359.51</v>
      </c>
      <c r="D36" s="11"/>
      <c r="E36" s="11"/>
      <c r="F36" s="11"/>
      <c r="G36" s="11"/>
      <c r="H36" s="11"/>
    </row>
    <row r="37" spans="2:8">
      <c r="B37" s="11" t="s">
        <v>233</v>
      </c>
      <c r="C37" s="12">
        <f>C35-C36</f>
        <v>-3430.58</v>
      </c>
      <c r="D37" s="11"/>
      <c r="E37" s="11"/>
      <c r="F37" s="11"/>
      <c r="G37" s="11"/>
      <c r="H37" s="11"/>
    </row>
    <row r="38" spans="2:8">
      <c r="B38" s="11" t="s">
        <v>234</v>
      </c>
      <c r="C38" s="12">
        <f>'Financial Model'!C58</f>
        <v>643.39</v>
      </c>
      <c r="D38" s="11"/>
      <c r="E38" s="11"/>
      <c r="F38" s="11"/>
      <c r="G38" s="11"/>
      <c r="H38" s="11"/>
    </row>
    <row r="39" spans="2:8">
      <c r="B39" s="169" t="s">
        <v>235</v>
      </c>
      <c r="C39" s="170">
        <f>C34-C37-C38</f>
        <v>97075.637499747958</v>
      </c>
      <c r="D39" s="11"/>
      <c r="E39" s="11"/>
      <c r="F39" s="11"/>
      <c r="G39" s="11"/>
      <c r="H39" s="11"/>
    </row>
    <row r="40" spans="2:8">
      <c r="B40" s="171" t="s">
        <v>202</v>
      </c>
      <c r="C40" s="172">
        <f>$F$7</f>
        <v>95.92</v>
      </c>
      <c r="D40" s="11"/>
      <c r="E40" s="11"/>
      <c r="F40" s="11"/>
      <c r="G40" s="11"/>
      <c r="H40" s="11"/>
    </row>
    <row r="41" spans="2:8">
      <c r="B41" s="173" t="s">
        <v>236</v>
      </c>
      <c r="C41" s="174">
        <f>C39/C40</f>
        <v>1012.0479305645116</v>
      </c>
      <c r="D41" s="11"/>
      <c r="E41" s="11"/>
      <c r="F41" s="11"/>
      <c r="G41" s="11"/>
      <c r="H41" s="11"/>
    </row>
  </sheetData>
  <mergeCells count="4">
    <mergeCell ref="B2:H2"/>
    <mergeCell ref="B5:H5"/>
    <mergeCell ref="B15:H15"/>
    <mergeCell ref="B29:F2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27"/>
  <sheetViews>
    <sheetView showGridLines="0" topLeftCell="A15" workbookViewId="0"/>
  </sheetViews>
  <sheetFormatPr defaultRowHeight="15"/>
  <cols>
    <col min="2" max="2" width="42" customWidth="1"/>
    <col min="3" max="8" width="14" customWidth="1"/>
  </cols>
  <sheetData>
    <row r="2" spans="2:8" ht="18">
      <c r="B2" s="222" t="s">
        <v>237</v>
      </c>
      <c r="C2" s="222"/>
      <c r="D2" s="222"/>
      <c r="E2" s="222"/>
      <c r="F2" s="222"/>
      <c r="G2" s="222"/>
      <c r="H2" s="222"/>
    </row>
    <row r="3" spans="2:8">
      <c r="B3" s="166" t="s">
        <v>213</v>
      </c>
      <c r="C3" s="166" t="s">
        <v>62</v>
      </c>
      <c r="D3" s="166" t="s">
        <v>164</v>
      </c>
      <c r="E3" s="166" t="s">
        <v>165</v>
      </c>
      <c r="F3" s="166" t="s">
        <v>166</v>
      </c>
      <c r="G3" s="166" t="s">
        <v>167</v>
      </c>
      <c r="H3" s="166" t="s">
        <v>168</v>
      </c>
    </row>
    <row r="4" spans="2:8">
      <c r="B4" s="11"/>
      <c r="C4" s="11"/>
      <c r="D4" s="11"/>
      <c r="E4" s="11"/>
      <c r="F4" s="11"/>
      <c r="G4" s="11"/>
      <c r="H4" s="11"/>
    </row>
    <row r="5" spans="2:8">
      <c r="B5" s="223" t="s">
        <v>238</v>
      </c>
      <c r="C5" s="223"/>
      <c r="D5" s="223"/>
      <c r="E5" s="223"/>
      <c r="F5" s="223"/>
      <c r="G5" s="223"/>
      <c r="H5" s="223"/>
    </row>
    <row r="6" spans="2:8">
      <c r="B6" s="11" t="s">
        <v>239</v>
      </c>
      <c r="C6" s="13">
        <f>'Financial Model'!C35</f>
        <v>7146.23</v>
      </c>
      <c r="D6" s="13">
        <f>'Financial Model'!C35</f>
        <v>7146.23</v>
      </c>
      <c r="E6" s="13">
        <f>'Financial Model'!D35</f>
        <v>7925.5095259999998</v>
      </c>
      <c r="F6" s="13">
        <f>'Financial Model'!E35</f>
        <v>8778.8206069700009</v>
      </c>
      <c r="G6" s="13">
        <f>'Financial Model'!F35</f>
        <v>9708.9296852273019</v>
      </c>
      <c r="H6" s="13">
        <f>'Financial Model'!G35</f>
        <v>10718.098035136472</v>
      </c>
    </row>
    <row r="7" spans="2:8">
      <c r="B7" s="11" t="s">
        <v>219</v>
      </c>
      <c r="C7" s="13">
        <f>-'Historical data'!F104</f>
        <v>1675.69</v>
      </c>
      <c r="D7" s="13">
        <f>'Assumptions and Drivers'!C28</f>
        <v>1948.1988150000002</v>
      </c>
      <c r="E7" s="13">
        <f>'Assumptions and Drivers'!D28</f>
        <v>2133.2777024250004</v>
      </c>
      <c r="F7" s="13">
        <f>'Assumptions and Drivers'!E28</f>
        <v>2325.2726956432502</v>
      </c>
      <c r="G7" s="13">
        <f>'Assumptions and Drivers'!F28</f>
        <v>2522.9208747729267</v>
      </c>
      <c r="H7" s="13">
        <f>'Assumptions and Drivers'!G28</f>
        <v>2724.7545447547614</v>
      </c>
    </row>
    <row r="8" spans="2:8">
      <c r="B8" s="11" t="s">
        <v>240</v>
      </c>
      <c r="C8" s="13">
        <f>'Financial Model'!C16</f>
        <v>1228.8499999999999</v>
      </c>
      <c r="D8" s="13">
        <f>'Financial Model'!D16</f>
        <v>1168.9192889999999</v>
      </c>
      <c r="E8" s="13">
        <f>'Financial Model'!E16</f>
        <v>1279.966621455</v>
      </c>
      <c r="F8" s="13">
        <f>'Financial Model'!F16</f>
        <v>1395.1636173859501</v>
      </c>
      <c r="G8" s="13">
        <f>'Financial Model'!G16</f>
        <v>1513.752524863756</v>
      </c>
      <c r="H8" s="13">
        <f>'Financial Model'!H16</f>
        <v>1634.8527268528567</v>
      </c>
    </row>
    <row r="9" spans="2:8">
      <c r="B9" s="14" t="s">
        <v>241</v>
      </c>
      <c r="C9" s="15">
        <f>'Financial Model'!C35</f>
        <v>7146.23</v>
      </c>
      <c r="D9" s="15">
        <f>'Financial Model'!D35</f>
        <v>7925.5095259999998</v>
      </c>
      <c r="E9" s="15">
        <f>'Financial Model'!E35</f>
        <v>8778.8206069700009</v>
      </c>
      <c r="F9" s="15">
        <f>'Financial Model'!F35</f>
        <v>9708.9296852273019</v>
      </c>
      <c r="G9" s="15">
        <f>'Financial Model'!G35</f>
        <v>10718.098035136472</v>
      </c>
      <c r="H9" s="15">
        <f>'Financial Model'!H35</f>
        <v>11807.999853038378</v>
      </c>
    </row>
    <row r="10" spans="2:8">
      <c r="B10" s="11" t="s">
        <v>242</v>
      </c>
      <c r="C10" s="13">
        <f>0</f>
        <v>0</v>
      </c>
      <c r="D10" s="13">
        <f>D6+D7-D8-D9</f>
        <v>0</v>
      </c>
      <c r="E10" s="13">
        <f>E6+E7-E8-E9</f>
        <v>0</v>
      </c>
      <c r="F10" s="13">
        <f>F6+F7-F8-F9</f>
        <v>0</v>
      </c>
      <c r="G10" s="13">
        <f>G6+G7-G8-G9</f>
        <v>0</v>
      </c>
      <c r="H10" s="13">
        <f>H6+H7-H8-H9</f>
        <v>0</v>
      </c>
    </row>
    <row r="11" spans="2:8">
      <c r="B11" s="11"/>
      <c r="C11" s="13"/>
      <c r="D11" s="13"/>
      <c r="E11" s="13"/>
      <c r="F11" s="13"/>
      <c r="G11" s="13"/>
      <c r="H11" s="13"/>
    </row>
    <row r="12" spans="2:8">
      <c r="B12" s="223" t="s">
        <v>243</v>
      </c>
      <c r="C12" s="224"/>
      <c r="D12" s="224"/>
      <c r="E12" s="224"/>
      <c r="F12" s="224"/>
      <c r="G12" s="224"/>
      <c r="H12" s="224"/>
    </row>
    <row r="13" spans="2:8">
      <c r="B13" s="11" t="s">
        <v>93</v>
      </c>
      <c r="C13" s="13">
        <f>'Financial Model'!C45</f>
        <v>5743.69</v>
      </c>
      <c r="D13" s="13">
        <f>'Financial Model'!D45</f>
        <v>6389.0246070000003</v>
      </c>
      <c r="E13" s="13">
        <f>'Financial Model'!E45</f>
        <v>6971.4346395960001</v>
      </c>
      <c r="F13" s="13">
        <f>'Financial Model'!F45</f>
        <v>7585.485475897035</v>
      </c>
      <c r="G13" s="13">
        <f>'Financial Model'!G45</f>
        <v>8201.2208710084305</v>
      </c>
      <c r="H13" s="13">
        <f>'Financial Model'!H45</f>
        <v>8857.3185406891062</v>
      </c>
    </row>
    <row r="14" spans="2:8">
      <c r="B14" s="11" t="s">
        <v>94</v>
      </c>
      <c r="C14" s="13">
        <f>'Financial Model'!C46</f>
        <v>4461.8</v>
      </c>
      <c r="D14" s="13">
        <f>'Financial Model'!D46</f>
        <v>4910.5285200000008</v>
      </c>
      <c r="E14" s="13">
        <f>'Financial Model'!E46</f>
        <v>5377.0287294000009</v>
      </c>
      <c r="F14" s="13">
        <f>'Financial Model'!F46</f>
        <v>5860.9613150460009</v>
      </c>
      <c r="G14" s="13">
        <f>'Financial Model'!G46</f>
        <v>6359.1430268249114</v>
      </c>
      <c r="H14" s="13">
        <f>'Financial Model'!H46</f>
        <v>6867.8744689709056</v>
      </c>
    </row>
    <row r="15" spans="2:8">
      <c r="B15" s="11" t="s">
        <v>244</v>
      </c>
      <c r="C15" s="13">
        <f>'Financial Model'!C49</f>
        <v>2619.64</v>
      </c>
      <c r="D15" s="13">
        <f>'Financial Model'!D49</f>
        <v>2619.64</v>
      </c>
      <c r="E15" s="13">
        <f>'Financial Model'!E49</f>
        <v>2619.64</v>
      </c>
      <c r="F15" s="13">
        <f>'Financial Model'!F49</f>
        <v>2619.64</v>
      </c>
      <c r="G15" s="13">
        <f>'Financial Model'!G49</f>
        <v>2619.64</v>
      </c>
      <c r="H15" s="13">
        <f>'Financial Model'!H49</f>
        <v>2619.64</v>
      </c>
    </row>
    <row r="16" spans="2:8">
      <c r="B16" s="11" t="s">
        <v>245</v>
      </c>
      <c r="C16" s="13">
        <f>'Financial Model'!C71</f>
        <v>3863.04</v>
      </c>
      <c r="D16" s="13">
        <f>'Financial Model'!D71</f>
        <v>4320.1975914000004</v>
      </c>
      <c r="E16" s="13">
        <f>'Financial Model'!E71</f>
        <v>4714.017708679201</v>
      </c>
      <c r="F16" s="13">
        <f>'Financial Model'!F71</f>
        <v>5129.2330360827582</v>
      </c>
      <c r="G16" s="13">
        <f>'Financial Model'!G71</f>
        <v>5545.5874461104622</v>
      </c>
      <c r="H16" s="13">
        <f>'Financial Model'!H71</f>
        <v>5989.2344417993008</v>
      </c>
    </row>
    <row r="17" spans="2:8">
      <c r="B17" s="11" t="s">
        <v>246</v>
      </c>
      <c r="C17" s="13">
        <f>'Financial Model'!C74</f>
        <v>3719.16</v>
      </c>
      <c r="D17" s="13">
        <f>'Financial Model'!D74</f>
        <v>4072.4802</v>
      </c>
      <c r="E17" s="13">
        <f>'Financial Model'!E74</f>
        <v>4459.3658189999996</v>
      </c>
      <c r="F17" s="13">
        <f>'Financial Model'!F74</f>
        <v>4860.7087427099996</v>
      </c>
      <c r="G17" s="13">
        <f>'Financial Model'!G74</f>
        <v>5273.8689858403495</v>
      </c>
      <c r="H17" s="13">
        <f>'Financial Model'!H74</f>
        <v>5695.7785047075777</v>
      </c>
    </row>
    <row r="18" spans="2:8">
      <c r="B18" s="14" t="s">
        <v>247</v>
      </c>
      <c r="C18" s="15">
        <f t="shared" ref="C18:H18" si="0">C13+C14+C15-C16-C17</f>
        <v>5242.93</v>
      </c>
      <c r="D18" s="15">
        <f t="shared" si="0"/>
        <v>5526.5153355999992</v>
      </c>
      <c r="E18" s="15">
        <f t="shared" si="0"/>
        <v>5794.7198413167998</v>
      </c>
      <c r="F18" s="15">
        <f t="shared" si="0"/>
        <v>6076.1450121502767</v>
      </c>
      <c r="G18" s="15">
        <f t="shared" si="0"/>
        <v>6360.5474658825324</v>
      </c>
      <c r="H18" s="15">
        <f t="shared" si="0"/>
        <v>6659.8200631531327</v>
      </c>
    </row>
    <row r="19" spans="2:8">
      <c r="B19" s="11" t="s">
        <v>221</v>
      </c>
      <c r="C19" s="13">
        <f>0</f>
        <v>0</v>
      </c>
      <c r="D19" s="13">
        <f>D18-C18</f>
        <v>283.58533559999887</v>
      </c>
      <c r="E19" s="13">
        <f>E18-D18</f>
        <v>268.20450571680067</v>
      </c>
      <c r="F19" s="13">
        <f>F18-E18</f>
        <v>281.42517083347684</v>
      </c>
      <c r="G19" s="13">
        <f>G18-F18</f>
        <v>284.40245373225571</v>
      </c>
      <c r="H19" s="13">
        <f>H18-G18</f>
        <v>299.27259727060027</v>
      </c>
    </row>
    <row r="20" spans="2:8">
      <c r="B20" s="11"/>
      <c r="C20" s="13"/>
      <c r="D20" s="13"/>
      <c r="E20" s="13"/>
      <c r="F20" s="13"/>
      <c r="G20" s="13"/>
      <c r="H20" s="13"/>
    </row>
    <row r="21" spans="2:8">
      <c r="B21" s="223" t="s">
        <v>248</v>
      </c>
      <c r="C21" s="224"/>
      <c r="D21" s="224"/>
      <c r="E21" s="224"/>
      <c r="F21" s="224"/>
      <c r="G21" s="224"/>
      <c r="H21" s="224"/>
    </row>
    <row r="22" spans="2:8">
      <c r="B22" s="11" t="s">
        <v>249</v>
      </c>
      <c r="C22" s="13">
        <f>'Financial Model'!C63</f>
        <v>1247.17</v>
      </c>
      <c r="D22" s="13">
        <f>'Financial Model'!D63</f>
        <v>1247.17</v>
      </c>
      <c r="E22" s="13">
        <f>'Financial Model'!E63</f>
        <v>1247.17</v>
      </c>
      <c r="F22" s="13">
        <f>'Financial Model'!F63</f>
        <v>1247.17</v>
      </c>
      <c r="G22" s="13">
        <f>'Financial Model'!G63</f>
        <v>1247.17</v>
      </c>
      <c r="H22" s="13">
        <f>'Financial Model'!H63</f>
        <v>1247.17</v>
      </c>
    </row>
    <row r="23" spans="2:8">
      <c r="B23" s="11" t="s">
        <v>250</v>
      </c>
      <c r="C23" s="13">
        <f>'Financial Model'!C70</f>
        <v>1046.0899999999999</v>
      </c>
      <c r="D23" s="13">
        <f>'Financial Model'!D70</f>
        <v>1046.0899999999999</v>
      </c>
      <c r="E23" s="13">
        <f>'Financial Model'!E70</f>
        <v>1046.0899999999999</v>
      </c>
      <c r="F23" s="13">
        <f>'Financial Model'!F70</f>
        <v>1046.0899999999999</v>
      </c>
      <c r="G23" s="13">
        <f>'Financial Model'!G70</f>
        <v>1046.0899999999999</v>
      </c>
      <c r="H23" s="13">
        <f>'Financial Model'!H70</f>
        <v>1046.0899999999999</v>
      </c>
    </row>
    <row r="24" spans="2:8">
      <c r="B24" s="11" t="s">
        <v>251</v>
      </c>
      <c r="C24" s="13">
        <f>'Financial Model'!C64</f>
        <v>1306.94</v>
      </c>
      <c r="D24" s="13">
        <f>'Financial Model'!D64</f>
        <v>1281.3137254901962</v>
      </c>
      <c r="E24" s="13">
        <f>'Financial Model'!E64</f>
        <v>1256.1899269511725</v>
      </c>
      <c r="F24" s="13">
        <f>'Financial Model'!F64</f>
        <v>1231.5587519129142</v>
      </c>
      <c r="G24" s="13">
        <f>'Financial Model'!G64</f>
        <v>1207.4105410910925</v>
      </c>
      <c r="H24" s="13">
        <f>'Financial Model'!H64</f>
        <v>1183.7358245991104</v>
      </c>
    </row>
    <row r="25" spans="2:8">
      <c r="B25" s="11" t="s">
        <v>252</v>
      </c>
      <c r="C25" s="13">
        <f>'Financial Model'!C72</f>
        <v>328.73</v>
      </c>
      <c r="D25" s="13">
        <f>'Financial Model'!D72</f>
        <v>322.28431372549022</v>
      </c>
      <c r="E25" s="13">
        <f>'Financial Model'!E72</f>
        <v>315.9650134563629</v>
      </c>
      <c r="F25" s="13">
        <f>'Financial Model'!F72</f>
        <v>309.76962103564989</v>
      </c>
      <c r="G25" s="13">
        <f>'Financial Model'!G72</f>
        <v>303.69570689769597</v>
      </c>
      <c r="H25" s="13">
        <f>'Financial Model'!H72</f>
        <v>297.7408891153882</v>
      </c>
    </row>
    <row r="26" spans="2:8">
      <c r="B26" s="14" t="s">
        <v>253</v>
      </c>
      <c r="C26" s="15">
        <f t="shared" ref="C26:H26" si="1">SUM(C22:C25)</f>
        <v>3928.9300000000003</v>
      </c>
      <c r="D26" s="15">
        <f t="shared" si="1"/>
        <v>3896.8580392156869</v>
      </c>
      <c r="E26" s="15">
        <f t="shared" si="1"/>
        <v>3865.4149404075356</v>
      </c>
      <c r="F26" s="15">
        <f t="shared" si="1"/>
        <v>3834.588372948564</v>
      </c>
      <c r="G26" s="15">
        <f t="shared" si="1"/>
        <v>3804.3662479887885</v>
      </c>
      <c r="H26" s="15">
        <f t="shared" si="1"/>
        <v>3774.7367137144988</v>
      </c>
    </row>
    <row r="27" spans="2:8">
      <c r="B27" s="11" t="s">
        <v>254</v>
      </c>
      <c r="C27" s="13">
        <f>0</f>
        <v>0</v>
      </c>
      <c r="D27" s="13">
        <f>D26-C26</f>
        <v>-32.071960784313433</v>
      </c>
      <c r="E27" s="13">
        <f>E26-D26</f>
        <v>-31.443098808151262</v>
      </c>
      <c r="F27" s="13">
        <f>F26-E26</f>
        <v>-30.826567458971567</v>
      </c>
      <c r="G27" s="13">
        <f>G26-F26</f>
        <v>-30.222124959775556</v>
      </c>
      <c r="H27" s="13">
        <f>H26-G26</f>
        <v>-29.629534274289654</v>
      </c>
    </row>
  </sheetData>
  <mergeCells count="4">
    <mergeCell ref="B2:H2"/>
    <mergeCell ref="B5:H5"/>
    <mergeCell ref="B12:H12"/>
    <mergeCell ref="B21:H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19"/>
  <sheetViews>
    <sheetView showGridLines="0" topLeftCell="A9" workbookViewId="0">
      <selection activeCell="K7" sqref="K7"/>
    </sheetView>
  </sheetViews>
  <sheetFormatPr defaultRowHeight="15"/>
  <cols>
    <col min="2" max="2" width="30" customWidth="1"/>
    <col min="3" max="8" width="17" customWidth="1"/>
  </cols>
  <sheetData>
    <row r="2" spans="2:8" ht="18">
      <c r="B2" s="222" t="s">
        <v>255</v>
      </c>
      <c r="C2" s="222"/>
      <c r="D2" s="222"/>
      <c r="E2" s="222"/>
      <c r="F2" s="222"/>
      <c r="G2" s="222"/>
      <c r="H2" s="222"/>
    </row>
    <row r="3" spans="2:8" ht="30" customHeight="1">
      <c r="B3" s="225" t="s">
        <v>256</v>
      </c>
      <c r="C3" s="225"/>
      <c r="D3" s="225"/>
      <c r="E3" s="225"/>
      <c r="F3" s="225"/>
      <c r="G3" s="225"/>
      <c r="H3" s="225"/>
    </row>
    <row r="4" spans="2:8">
      <c r="B4" s="11"/>
      <c r="C4" s="11"/>
      <c r="D4" s="11"/>
      <c r="E4" s="11"/>
      <c r="F4" s="11"/>
      <c r="G4" s="11"/>
      <c r="H4" s="11"/>
    </row>
    <row r="5" spans="2:8">
      <c r="B5" s="223" t="s">
        <v>257</v>
      </c>
      <c r="C5" s="223"/>
      <c r="D5" s="223"/>
      <c r="E5" s="223"/>
      <c r="F5" s="223"/>
      <c r="G5" s="223"/>
      <c r="H5" s="223"/>
    </row>
    <row r="6" spans="2:8">
      <c r="B6" s="11"/>
      <c r="C6" s="11"/>
      <c r="D6" s="11"/>
      <c r="E6" s="11"/>
      <c r="F6" s="11"/>
      <c r="G6" s="11"/>
      <c r="H6" s="11"/>
    </row>
    <row r="7" spans="2:8">
      <c r="B7" s="11"/>
      <c r="C7" s="21" t="s">
        <v>258</v>
      </c>
      <c r="D7" s="22">
        <v>0.04</v>
      </c>
      <c r="E7" s="22">
        <v>4.4999999999999998E-2</v>
      </c>
      <c r="F7" s="22">
        <v>0.05</v>
      </c>
      <c r="G7" s="22">
        <v>5.5E-2</v>
      </c>
      <c r="H7" s="22">
        <v>0.06</v>
      </c>
    </row>
    <row r="8" spans="2:8">
      <c r="B8" s="11"/>
      <c r="C8" s="22">
        <v>0.09</v>
      </c>
      <c r="D8" s="23">
        <f>(('Valuation Output'!D25/(1+$C8)^1+'Valuation Output'!E25/(1+$C8)^2+'Valuation Output'!F25/(1+$C8)^3+'Valuation Output'!G25/(1+$C8)^4+'Valuation Output'!H25/(1+$C8)^5+('Valuation Output'!H25*(1+D$7)/($C8-D$7))/(1+$C8)^5)-'Valuation Output'!C37-'Valuation Output'!C38)/'Valuation Output'!C40</f>
        <v>1038.6967989036916</v>
      </c>
      <c r="E8" s="23">
        <f>(('Valuation Output'!D25/(1+$C8)^1+'Valuation Output'!E25/(1+$C8)^2+'Valuation Output'!F25/(1+$C8)^3+'Valuation Output'!G25/(1+$C8)^4+'Valuation Output'!H25/(1+$C8)^5+('Valuation Output'!H25*(1+E$7)/($C8-E$7))/(1+$C8)^5)-'Valuation Output'!C37-'Valuation Output'!C38)/'Valuation Output'!C40</f>
        <v>1133.7744245174431</v>
      </c>
      <c r="F8" s="23">
        <f>(('Valuation Output'!D25/(1+$C8)^1+'Valuation Output'!E25/(1+$C8)^2+'Valuation Output'!F25/(1+$C8)^3+'Valuation Output'!G25/(1+$C8)^4+'Valuation Output'!H25/(1+$C8)^5+('Valuation Output'!H25*(1+F$7)/($C8-F$7))/(1+$C8)^5)-'Valuation Output'!C37-'Valuation Output'!C38)/'Valuation Output'!C40</f>
        <v>1252.6214565346329</v>
      </c>
      <c r="G8" s="23">
        <f>(('Valuation Output'!D25/(1+$C8)^1+'Valuation Output'!E25/(1+$C8)^2+'Valuation Output'!F25/(1+$C8)^3+'Valuation Output'!G25/(1+$C8)^4+'Valuation Output'!H25/(1+$C8)^5+('Valuation Output'!H25*(1+G$7)/($C8-G$7))/(1+$C8)^5)-'Valuation Output'!C37-'Valuation Output'!C38)/'Valuation Output'!C40</f>
        <v>1405.4247834138757</v>
      </c>
      <c r="H8" s="23">
        <f>(('Valuation Output'!D25/(1+$C8)^1+'Valuation Output'!E25/(1+$C8)^2+'Valuation Output'!F25/(1+$C8)^3+'Valuation Output'!G25/(1+$C8)^4+'Valuation Output'!H25/(1+$C8)^5+('Valuation Output'!H25*(1+H$7)/($C8-H$7))/(1+$C8)^5)-'Valuation Output'!C37-'Valuation Output'!C38)/'Valuation Output'!C40</f>
        <v>1609.1625525862003</v>
      </c>
    </row>
    <row r="9" spans="2:8">
      <c r="B9" s="11"/>
      <c r="C9" s="22">
        <v>9.5000000000000001E-2</v>
      </c>
      <c r="D9" s="23">
        <f>(('Valuation Output'!D25/(1+$C9)^1+'Valuation Output'!E25/(1+$C9)^2+'Valuation Output'!F25/(1+$C9)^3+'Valuation Output'!G25/(1+$C9)^4+'Valuation Output'!H25/(1+$C9)^5+('Valuation Output'!H25*(1+D$7)/($C9-D$7))/(1+$C9)^5)-'Valuation Output'!C37-'Valuation Output'!C38)/'Valuation Output'!C40</f>
        <v>945.0273782440255</v>
      </c>
      <c r="E9" s="23">
        <f>(('Valuation Output'!D25/(1+$C9)^1+'Valuation Output'!E25/(1+$C9)^2+'Valuation Output'!F25/(1+$C9)^3+'Valuation Output'!G25/(1+$C9)^4+'Valuation Output'!H25/(1+$C9)^5+('Valuation Output'!H25*(1+E$7)/($C9-E$7))/(1+$C9)^5)-'Valuation Output'!C37-'Valuation Output'!C38)/'Valuation Output'!C40</f>
        <v>1021.4070287529377</v>
      </c>
      <c r="F9" s="23">
        <f>(('Valuation Output'!D25/(1+$C9)^1+'Valuation Output'!E25/(1+$C9)^2+'Valuation Output'!F25/(1+$C9)^3+'Valuation Output'!G25/(1+$C9)^4+'Valuation Output'!H25/(1+$C9)^5+('Valuation Output'!H25*(1+F$7)/($C9-F$7))/(1+$C9)^5)-'Valuation Output'!C37-'Valuation Output'!C38)/'Valuation Output'!C40</f>
        <v>1114.7599349304974</v>
      </c>
      <c r="G9" s="23">
        <f>(('Valuation Output'!D25/(1+$C9)^1+'Valuation Output'!E25/(1+$C9)^2+'Valuation Output'!F25/(1+$C9)^3+'Valuation Output'!G25/(1+$C9)^4+'Valuation Output'!H25/(1+$C9)^5+('Valuation Output'!H25*(1+G$7)/($C9-G$7))/(1+$C9)^5)-'Valuation Output'!C37-'Valuation Output'!C38)/'Valuation Output'!C40</f>
        <v>1231.4510676524465</v>
      </c>
      <c r="H9" s="23">
        <f>(('Valuation Output'!D25/(1+$C9)^1+'Valuation Output'!E25/(1+$C9)^2+'Valuation Output'!F25/(1+$C9)^3+'Valuation Output'!G25/(1+$C9)^4+'Valuation Output'!H25/(1+$C9)^5+('Valuation Output'!H25*(1+H$7)/($C9-H$7))/(1+$C9)^5)-'Valuation Output'!C37-'Valuation Output'!C38)/'Valuation Output'!C40</f>
        <v>1381.4825240092382</v>
      </c>
    </row>
    <row r="10" spans="2:8">
      <c r="B10" s="11"/>
      <c r="C10" s="22">
        <v>0.1</v>
      </c>
      <c r="D10" s="23">
        <f>(('Valuation Output'!D25/(1+$C10)^1+'Valuation Output'!E25/(1+$C10)^2+'Valuation Output'!F25/(1+$C10)^3+'Valuation Output'!G25/(1+$C10)^4+'Valuation Output'!H25/(1+$C10)^5+('Valuation Output'!H25*(1+D$7)/($C10-D$7))/(1+$C10)^5)-'Valuation Output'!C37-'Valuation Output'!C38)/'Valuation Output'!C40</f>
        <v>866.99908477663973</v>
      </c>
      <c r="E10" s="23">
        <f>(('Valuation Output'!D25/(1+$C10)^1+'Valuation Output'!E25/(1+$C10)^2+'Valuation Output'!F25/(1+$C10)^3+'Valuation Output'!G25/(1+$C10)^4+'Valuation Output'!H25/(1+$C10)^5+('Valuation Output'!H25*(1+E$7)/($C10-E$7))/(1+$C10)^5)-'Valuation Output'!C37-'Valuation Output'!C38)/'Valuation Output'!C40</f>
        <v>929.49939267856371</v>
      </c>
      <c r="F10" s="23">
        <f>(('Valuation Output'!D25/(1+$C10)^1+'Valuation Output'!E25/(1+$C10)^2+'Valuation Output'!F25/(1+$C10)^3+'Valuation Output'!G25/(1+$C10)^4+'Valuation Output'!H25/(1+$C10)^5+('Valuation Output'!H25*(1+F$7)/($C10-F$7))/(1+$C10)^5)-'Valuation Output'!C37-'Valuation Output'!C38)/'Valuation Output'!C40</f>
        <v>1004.4997621608725</v>
      </c>
      <c r="G10" s="23">
        <f>(('Valuation Output'!D25/(1+$C10)^1+'Valuation Output'!E25/(1+$C10)^2+'Valuation Output'!F25/(1+$C10)^3+'Valuation Output'!G25/(1+$C10)^4+'Valuation Output'!H25/(1+$C10)^5+('Valuation Output'!H25*(1+G$7)/($C10-G$7))/(1+$C10)^5)-'Valuation Output'!C37-'Valuation Output'!C38)/'Valuation Output'!C40</f>
        <v>1096.1668804170272</v>
      </c>
      <c r="H10" s="23">
        <f>(('Valuation Output'!D25/(1+$C10)^1+'Valuation Output'!E25/(1+$C10)^2+'Valuation Output'!F25/(1+$C10)^3+'Valuation Output'!G25/(1+$C10)^4+'Valuation Output'!H25/(1+$C10)^5+('Valuation Output'!H25*(1+H$7)/($C10-H$7))/(1+$C10)^5)-'Valuation Output'!C37-'Valuation Output'!C38)/'Valuation Output'!C40</f>
        <v>1210.7507782372211</v>
      </c>
    </row>
    <row r="11" spans="2:8">
      <c r="B11" s="11"/>
      <c r="C11" s="22">
        <v>0.105</v>
      </c>
      <c r="D11" s="23">
        <f>(('Valuation Output'!D25/(1+$C11)^1+'Valuation Output'!E25/(1+$C11)^2+'Valuation Output'!F25/(1+$C11)^3+'Valuation Output'!G25/(1+$C11)^4+'Valuation Output'!H25/(1+$C11)^5+('Valuation Output'!H25*(1+D$7)/($C11-D$7))/(1+$C11)^5)-'Valuation Output'!C37-'Valuation Output'!C38)/'Valuation Output'!C40</f>
        <v>801.00181118941919</v>
      </c>
      <c r="E11" s="23">
        <f>(('Valuation Output'!D25/(1+$C11)^1+'Valuation Output'!E25/(1+$C11)^2+'Valuation Output'!F25/(1+$C11)^3+'Valuation Output'!G25/(1+$C11)^4+'Valuation Output'!H25/(1+$C11)^5+('Valuation Output'!H25*(1+E$7)/($C11-E$7))/(1+$C11)^5)-'Valuation Output'!C37-'Valuation Output'!C38)/'Valuation Output'!C40</f>
        <v>852.93597198666214</v>
      </c>
      <c r="F11" s="23">
        <f>(('Valuation Output'!D25/(1+$C11)^1+'Valuation Output'!E25/(1+$C11)^2+'Valuation Output'!F25/(1+$C11)^3+'Valuation Output'!G25/(1+$C11)^4+'Valuation Output'!H25/(1+$C11)^5+('Valuation Output'!H25*(1+F$7)/($C11-F$7))/(1+$C11)^5)-'Valuation Output'!C37-'Valuation Output'!C38)/'Valuation Output'!C40</f>
        <v>914.31270747431302</v>
      </c>
      <c r="G11" s="23">
        <f>(('Valuation Output'!D25/(1+$C11)^1+'Valuation Output'!E25/(1+$C11)^2+'Valuation Output'!F25/(1+$C11)^3+'Valuation Output'!G25/(1+$C11)^4+'Valuation Output'!H25/(1+$C11)^5+('Valuation Output'!H25*(1+G$7)/($C11-G$7))/(1+$C11)^5)-'Valuation Output'!C37-'Valuation Output'!C38)/'Valuation Output'!C40</f>
        <v>987.96479005949391</v>
      </c>
      <c r="H11" s="23">
        <f>(('Valuation Output'!D25/(1+$C11)^1+'Valuation Output'!E25/(1+$C11)^2+'Valuation Output'!F25/(1+$C11)^3+'Valuation Output'!G25/(1+$C11)^4+'Valuation Output'!H25/(1+$C11)^5+('Valuation Output'!H25*(1+H$7)/($C11-H$7))/(1+$C11)^5)-'Valuation Output'!C37-'Valuation Output'!C38)/'Valuation Output'!C40</f>
        <v>1077.9840021080486</v>
      </c>
    </row>
    <row r="12" spans="2:8">
      <c r="B12" s="11"/>
      <c r="C12" s="22">
        <v>0.11</v>
      </c>
      <c r="D12" s="23">
        <f>(('Valuation Output'!D25/(1+$C12)^1+'Valuation Output'!E25/(1+$C12)^2+'Valuation Output'!F25/(1+$C12)^3+'Valuation Output'!G25/(1+$C12)^4+'Valuation Output'!H25/(1+$C12)^5+('Valuation Output'!H25*(1+D$7)/($C12-D$7))/(1+$C12)^5)-'Valuation Output'!C37-'Valuation Output'!C38)/'Valuation Output'!C40</f>
        <v>744.45692521986166</v>
      </c>
      <c r="E12" s="23">
        <f>(('Valuation Output'!D25/(1+$C12)^1+'Valuation Output'!E25/(1+$C12)^2+'Valuation Output'!F25/(1+$C12)^3+'Valuation Output'!G25/(1+$C12)^4+'Valuation Output'!H25/(1+$C12)^5+('Valuation Output'!H25*(1+E$7)/($C12-E$7))/(1+$C12)^5)-'Valuation Output'!C37-'Valuation Output'!C38)/'Valuation Output'!C40</f>
        <v>788.17525135661936</v>
      </c>
      <c r="F12" s="23">
        <f>(('Valuation Output'!D25/(1+$C12)^1+'Valuation Output'!E25/(1+$C12)^2+'Valuation Output'!F25/(1+$C12)^3+'Valuation Output'!G25/(1+$C12)^4+'Valuation Output'!H25/(1+$C12)^5+('Valuation Output'!H25*(1+F$7)/($C12-F$7))/(1+$C12)^5)-'Valuation Output'!C37-'Valuation Output'!C38)/'Valuation Output'!C40</f>
        <v>839.17996518283644</v>
      </c>
      <c r="G12" s="23">
        <f>(('Valuation Output'!D25/(1+$C12)^1+'Valuation Output'!E25/(1+$C12)^2+'Valuation Output'!F25/(1+$C12)^3+'Valuation Output'!G25/(1+$C12)^4+'Valuation Output'!H25/(1+$C12)^5+('Valuation Output'!H25*(1+G$7)/($C12-G$7))/(1+$C12)^5)-'Valuation Output'!C37-'Valuation Output'!C38)/'Valuation Output'!C40</f>
        <v>899.4582633410929</v>
      </c>
      <c r="H12" s="23">
        <f>(('Valuation Output'!D25/(1+$C12)^1+'Valuation Output'!E25/(1+$C12)^2+'Valuation Output'!F25/(1+$C12)^3+'Valuation Output'!G25/(1+$C12)^4+'Valuation Output'!H25/(1+$C12)^5+('Valuation Output'!H25*(1+H$7)/($C12-H$7))/(1+$C12)^5)-'Valuation Output'!C37-'Valuation Output'!C38)/'Valuation Output'!C40</f>
        <v>971.7922211310007</v>
      </c>
    </row>
    <row r="13" spans="2:8">
      <c r="B13" s="11"/>
      <c r="C13" s="11"/>
      <c r="D13" s="11"/>
      <c r="E13" s="11"/>
      <c r="F13" s="11"/>
      <c r="G13" s="11"/>
      <c r="H13" s="11"/>
    </row>
    <row r="14" spans="2:8">
      <c r="B14" s="11"/>
      <c r="C14" s="11"/>
      <c r="D14" s="11"/>
      <c r="E14" s="11"/>
      <c r="F14" s="11"/>
      <c r="G14" s="11"/>
      <c r="H14" s="11"/>
    </row>
    <row r="15" spans="2:8">
      <c r="B15" s="223" t="s">
        <v>259</v>
      </c>
      <c r="C15" s="223"/>
      <c r="D15" s="223"/>
      <c r="E15" s="223"/>
      <c r="F15" s="223"/>
      <c r="G15" s="223"/>
      <c r="H15" s="223"/>
    </row>
    <row r="16" spans="2:8">
      <c r="B16" s="166" t="s">
        <v>260</v>
      </c>
      <c r="C16" s="166" t="s">
        <v>261</v>
      </c>
      <c r="D16" s="166" t="s">
        <v>35</v>
      </c>
      <c r="E16" s="166" t="s">
        <v>200</v>
      </c>
      <c r="F16" s="166" t="s">
        <v>230</v>
      </c>
      <c r="G16" s="166" t="s">
        <v>235</v>
      </c>
      <c r="H16" s="166" t="s">
        <v>262</v>
      </c>
    </row>
    <row r="17" spans="2:8">
      <c r="B17" s="11" t="s">
        <v>263</v>
      </c>
      <c r="C17" s="24">
        <v>0.85</v>
      </c>
      <c r="D17" s="16">
        <v>0.11</v>
      </c>
      <c r="E17" s="16">
        <v>4.4999999999999998E-2</v>
      </c>
      <c r="F17" s="12">
        <f>('Valuation Output'!D25*$C17/(1+$D17)^1+'Valuation Output'!E25*$C17/(1+$D17)^2+'Valuation Output'!F25*$C17/(1+$D17)^3+'Valuation Output'!G25*$C17/(1+$D17)^4+'Valuation Output'!H25*$C17/(1+$D17)^5+('Valuation Output'!H25*$C17*(1+$E17)/($D17-$E17))/(1+$D17)^5)</f>
        <v>61892.393093607883</v>
      </c>
      <c r="G17" s="12">
        <f>F17-'Valuation Output'!C37-'Valuation Output'!C38</f>
        <v>64679.583093607886</v>
      </c>
      <c r="H17" s="12">
        <f>G17/'Valuation Output'!C40</f>
        <v>674.30758020858934</v>
      </c>
    </row>
    <row r="18" spans="2:8">
      <c r="B18" s="171" t="s">
        <v>205</v>
      </c>
      <c r="C18" s="175">
        <v>1</v>
      </c>
      <c r="D18" s="176">
        <v>0.1</v>
      </c>
      <c r="E18" s="176">
        <v>0.05</v>
      </c>
      <c r="F18" s="172">
        <f>('Valuation Output'!D25*$C18/(1+$D18)^1+'Valuation Output'!E25*$C18/(1+$D18)^2+'Valuation Output'!F25*$C18/(1+$D18)^3+'Valuation Output'!G25*$C18/(1+$D18)^4+'Valuation Output'!H25*$C18/(1+$D18)^5+('Valuation Output'!H25*$C18*(1+$E18)/($D18-$E18))/(1+$D18)^5)</f>
        <v>93564.427186470886</v>
      </c>
      <c r="G18" s="172">
        <f>F18-'Valuation Output'!C37-'Valuation Output'!C38</f>
        <v>96351.617186470889</v>
      </c>
      <c r="H18" s="172">
        <f>G18/'Valuation Output'!C40</f>
        <v>1004.4997621608725</v>
      </c>
    </row>
    <row r="19" spans="2:8">
      <c r="B19" s="11" t="s">
        <v>264</v>
      </c>
      <c r="C19" s="24">
        <v>1.1499999999999999</v>
      </c>
      <c r="D19" s="16">
        <v>0.09</v>
      </c>
      <c r="E19" s="16">
        <v>5.5E-2</v>
      </c>
      <c r="F19" s="12">
        <f>('Valuation Output'!D25*$C19/(1+$D19)^1+'Valuation Output'!E25*$C19/(1+$D19)^2+'Valuation Output'!F25*$C19/(1+$D19)^3+'Valuation Output'!G25*$C19/(1+$D19)^4+'Valuation Output'!H25*$C19/(1+$D19)^5+('Valuation Output'!H25*$C19*(1+$E19)/($D19-$E19))/(1+$D19)^5)</f>
        <v>151824.32850881782</v>
      </c>
      <c r="G19" s="12">
        <f>F19-'Valuation Output'!C37-'Valuation Output'!C38</f>
        <v>154611.5185088178</v>
      </c>
      <c r="H19" s="12">
        <f>G19/'Valuation Output'!C40</f>
        <v>1611.8798843704942</v>
      </c>
    </row>
  </sheetData>
  <mergeCells count="4">
    <mergeCell ref="B2:H2"/>
    <mergeCell ref="B3:H3"/>
    <mergeCell ref="B5:H5"/>
    <mergeCell ref="B15:H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H24"/>
  <sheetViews>
    <sheetView showGridLines="0" tabSelected="1" workbookViewId="0">
      <selection activeCell="A12" sqref="A12:XFD12"/>
    </sheetView>
  </sheetViews>
  <sheetFormatPr defaultRowHeight="15"/>
  <cols>
    <col min="2" max="2" width="34" customWidth="1"/>
    <col min="3" max="8" width="16" customWidth="1"/>
  </cols>
  <sheetData>
    <row r="2" spans="2:8" ht="18">
      <c r="B2" s="222" t="s">
        <v>265</v>
      </c>
      <c r="C2" s="222"/>
      <c r="D2" s="222"/>
      <c r="E2" s="222"/>
      <c r="F2" s="222"/>
      <c r="G2" s="222"/>
      <c r="H2" s="222"/>
    </row>
    <row r="3" spans="2:8">
      <c r="B3" s="226" t="s">
        <v>266</v>
      </c>
      <c r="C3" s="226"/>
      <c r="D3" s="226"/>
      <c r="E3" s="226"/>
      <c r="F3" s="226"/>
      <c r="G3" s="226"/>
      <c r="H3" s="226"/>
    </row>
    <row r="4" spans="2:8">
      <c r="B4" s="11"/>
      <c r="C4" s="11"/>
      <c r="D4" s="11"/>
      <c r="E4" s="11"/>
      <c r="F4" s="11"/>
      <c r="G4" s="11"/>
      <c r="H4" s="11"/>
    </row>
    <row r="5" spans="2:8">
      <c r="B5" s="223" t="s">
        <v>267</v>
      </c>
      <c r="C5" s="223"/>
      <c r="D5" s="223"/>
      <c r="E5" s="223"/>
      <c r="F5" s="223"/>
      <c r="G5" s="223"/>
      <c r="H5" s="223"/>
    </row>
    <row r="6" spans="2:8">
      <c r="B6" s="177" t="s">
        <v>268</v>
      </c>
      <c r="C6" s="172">
        <f>'Valuation Output'!C41</f>
        <v>1012.0479305645116</v>
      </c>
      <c r="D6" s="11"/>
      <c r="E6" s="11"/>
      <c r="F6" s="11"/>
      <c r="G6" s="11"/>
      <c r="H6" s="11"/>
    </row>
    <row r="7" spans="2:8">
      <c r="B7" s="177" t="s">
        <v>230</v>
      </c>
      <c r="C7" s="172">
        <f>'Valuation Output'!C34</f>
        <v>94288.447499747956</v>
      </c>
      <c r="D7" s="11"/>
      <c r="E7" s="11"/>
      <c r="F7" s="11"/>
      <c r="G7" s="11"/>
      <c r="H7" s="11"/>
    </row>
    <row r="8" spans="2:8">
      <c r="B8" s="177" t="s">
        <v>235</v>
      </c>
      <c r="C8" s="172">
        <f>'Valuation Output'!C39</f>
        <v>97075.637499747958</v>
      </c>
      <c r="D8" s="11"/>
      <c r="E8" s="11"/>
      <c r="F8" s="11"/>
      <c r="G8" s="11"/>
      <c r="H8" s="11"/>
    </row>
    <row r="9" spans="2:8">
      <c r="B9" s="177" t="s">
        <v>35</v>
      </c>
      <c r="C9" s="178">
        <f>'Valuation Output'!C13</f>
        <v>9.9622500000000003E-2</v>
      </c>
      <c r="D9" s="11"/>
      <c r="E9" s="11"/>
      <c r="F9" s="11"/>
      <c r="G9" s="11"/>
      <c r="H9" s="11"/>
    </row>
    <row r="10" spans="2:8">
      <c r="B10" s="177" t="s">
        <v>200</v>
      </c>
      <c r="C10" s="178">
        <f>'Valuation Output'!F6</f>
        <v>0.05</v>
      </c>
      <c r="D10" s="11"/>
      <c r="E10" s="11"/>
      <c r="F10" s="11"/>
      <c r="G10" s="11"/>
      <c r="H10" s="11"/>
    </row>
    <row r="11" spans="2:8">
      <c r="B11" s="25"/>
      <c r="C11" s="11"/>
      <c r="D11" s="11"/>
      <c r="E11" s="11"/>
      <c r="F11" s="11"/>
      <c r="G11" s="11"/>
      <c r="H11" s="11"/>
    </row>
    <row r="12" spans="2:8">
      <c r="B12" s="223" t="s">
        <v>269</v>
      </c>
      <c r="C12" s="223"/>
      <c r="D12" s="223"/>
      <c r="E12" s="223"/>
      <c r="F12" s="223"/>
      <c r="G12" s="223"/>
      <c r="H12" s="223"/>
    </row>
    <row r="13" spans="2:8">
      <c r="B13" s="166" t="s">
        <v>270</v>
      </c>
      <c r="C13" s="166" t="s">
        <v>62</v>
      </c>
      <c r="D13" s="166" t="s">
        <v>164</v>
      </c>
      <c r="E13" s="166" t="s">
        <v>165</v>
      </c>
      <c r="F13" s="166" t="s">
        <v>166</v>
      </c>
      <c r="G13" s="166" t="s">
        <v>167</v>
      </c>
      <c r="H13" s="166" t="s">
        <v>168</v>
      </c>
    </row>
    <row r="14" spans="2:8">
      <c r="B14" s="11" t="s">
        <v>214</v>
      </c>
      <c r="C14" s="12">
        <f>'Financial Model'!C5</f>
        <v>35583.54</v>
      </c>
      <c r="D14" s="12">
        <f>'Financial Model'!D5</f>
        <v>38963.976300000002</v>
      </c>
      <c r="E14" s="12">
        <f>'Financial Model'!E5</f>
        <v>42665.554048500002</v>
      </c>
      <c r="F14" s="12">
        <f>'Financial Model'!F5</f>
        <v>46505.453912865007</v>
      </c>
      <c r="G14" s="12">
        <f>'Financial Model'!G5</f>
        <v>50458.417495458532</v>
      </c>
      <c r="H14" s="12">
        <f>'Financial Model'!H5</f>
        <v>54495.090895095222</v>
      </c>
    </row>
    <row r="15" spans="2:8">
      <c r="B15" s="11" t="s">
        <v>70</v>
      </c>
      <c r="C15" s="12">
        <f>'Financial Model'!C15</f>
        <v>7419.7200000000048</v>
      </c>
      <c r="D15" s="12">
        <f>'Financial Model'!D15</f>
        <v>7942.9926154999957</v>
      </c>
      <c r="E15" s="12">
        <f>'Financial Model'!E15</f>
        <v>8724.1354620694983</v>
      </c>
      <c r="F15" s="12">
        <f>'Financial Model'!F15</f>
        <v>9592.8982512693547</v>
      </c>
      <c r="G15" s="12">
        <f>'Financial Model'!G15</f>
        <v>10607.606349556787</v>
      </c>
      <c r="H15" s="12">
        <f>'Financial Model'!H15</f>
        <v>11406.280886555076</v>
      </c>
    </row>
    <row r="16" spans="2:8">
      <c r="B16" s="11" t="s">
        <v>271</v>
      </c>
      <c r="C16" s="12">
        <f>'Financial Model'!C26</f>
        <v>4394.6900000000051</v>
      </c>
      <c r="D16" s="12">
        <f>'Financial Model'!D26</f>
        <v>5005.9841492999976</v>
      </c>
      <c r="E16" s="12">
        <f>'Financial Model'!E26</f>
        <v>5502.9589920752787</v>
      </c>
      <c r="F16" s="12">
        <f>'Financial Model'!F26</f>
        <v>6061.190049596119</v>
      </c>
      <c r="G16" s="12">
        <f>'Financial Model'!G26</f>
        <v>6724.4922855396453</v>
      </c>
      <c r="H16" s="12">
        <f>'Financial Model'!H26</f>
        <v>7225.7616018677909</v>
      </c>
    </row>
    <row r="17" spans="2:8">
      <c r="B17" s="11" t="s">
        <v>222</v>
      </c>
      <c r="C17" s="12">
        <f>'Valuation Output'!C25</f>
        <v>3863.3241274169523</v>
      </c>
      <c r="D17" s="12">
        <f>'Valuation Output'!D25</f>
        <v>3904.8212000099984</v>
      </c>
      <c r="E17" s="12">
        <f>'Valuation Output'!E25</f>
        <v>4341.1861193679269</v>
      </c>
      <c r="F17" s="12">
        <f>'Valuation Output'!F25</f>
        <v>4807.9344825429425</v>
      </c>
      <c r="G17" s="12">
        <f>'Valuation Output'!G25</f>
        <v>5388.1375145554166</v>
      </c>
      <c r="H17" s="12">
        <f>'Valuation Output'!H25</f>
        <v>5793.0330088355449</v>
      </c>
    </row>
    <row r="18" spans="2:8">
      <c r="B18" s="11"/>
      <c r="C18" s="11"/>
      <c r="D18" s="11"/>
      <c r="E18" s="11"/>
      <c r="F18" s="11"/>
      <c r="G18" s="11"/>
      <c r="H18" s="11"/>
    </row>
    <row r="19" spans="2:8">
      <c r="B19" s="223" t="s">
        <v>272</v>
      </c>
      <c r="C19" s="223"/>
      <c r="D19" s="223"/>
      <c r="E19" s="223"/>
      <c r="F19" s="223"/>
      <c r="G19" s="223"/>
      <c r="H19" s="223"/>
    </row>
    <row r="20" spans="2:8" ht="27.95" customHeight="1">
      <c r="B20" s="225" t="s">
        <v>273</v>
      </c>
      <c r="C20" s="225"/>
      <c r="D20" s="225"/>
      <c r="E20" s="225"/>
      <c r="F20" s="225"/>
      <c r="G20" s="225"/>
      <c r="H20" s="225"/>
    </row>
    <row r="21" spans="2:8" ht="27.95" customHeight="1">
      <c r="B21" s="225" t="s">
        <v>274</v>
      </c>
      <c r="C21" s="225"/>
      <c r="D21" s="225"/>
      <c r="E21" s="225"/>
      <c r="F21" s="225"/>
      <c r="G21" s="225"/>
      <c r="H21" s="225"/>
    </row>
    <row r="22" spans="2:8" ht="27.95" customHeight="1">
      <c r="B22" s="225" t="s">
        <v>275</v>
      </c>
      <c r="C22" s="225"/>
      <c r="D22" s="225"/>
      <c r="E22" s="225"/>
      <c r="F22" s="225"/>
      <c r="G22" s="225"/>
      <c r="H22" s="225"/>
    </row>
    <row r="23" spans="2:8" ht="27.95" customHeight="1">
      <c r="B23" s="225" t="s">
        <v>276</v>
      </c>
      <c r="C23" s="225"/>
      <c r="D23" s="225"/>
      <c r="E23" s="225"/>
      <c r="F23" s="225"/>
      <c r="G23" s="225"/>
      <c r="H23" s="225"/>
    </row>
    <row r="24" spans="2:8" ht="27.95" customHeight="1">
      <c r="B24" s="225" t="s">
        <v>277</v>
      </c>
      <c r="C24" s="225"/>
      <c r="D24" s="225"/>
      <c r="E24" s="225"/>
      <c r="F24" s="225"/>
      <c r="G24" s="225"/>
      <c r="H24" s="225"/>
    </row>
  </sheetData>
  <mergeCells count="10">
    <mergeCell ref="B2:H2"/>
    <mergeCell ref="B3:H3"/>
    <mergeCell ref="B5:H5"/>
    <mergeCell ref="B12:H12"/>
    <mergeCell ref="B19:H19"/>
    <mergeCell ref="B20:H20"/>
    <mergeCell ref="B21:H21"/>
    <mergeCell ref="B22:H22"/>
    <mergeCell ref="B23:H23"/>
    <mergeCell ref="B24:H2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H40"/>
  <sheetViews>
    <sheetView showGridLines="0" topLeftCell="A33" workbookViewId="0">
      <selection activeCell="C24" sqref="C24"/>
    </sheetView>
  </sheetViews>
  <sheetFormatPr defaultRowHeight="15"/>
  <cols>
    <col min="2" max="2" width="25" customWidth="1"/>
    <col min="3" max="3" width="33" customWidth="1"/>
    <col min="4" max="4" width="40" customWidth="1"/>
    <col min="5" max="6" width="22" customWidth="1"/>
    <col min="7" max="7" width="18" customWidth="1"/>
    <col min="8" max="8" width="32" customWidth="1"/>
  </cols>
  <sheetData>
    <row r="2" spans="2:8" ht="30" customHeight="1">
      <c r="B2" s="215" t="s">
        <v>278</v>
      </c>
      <c r="C2" s="215"/>
      <c r="D2" s="215"/>
      <c r="E2" s="215"/>
      <c r="F2" s="215"/>
      <c r="G2" s="215"/>
      <c r="H2" s="215"/>
    </row>
    <row r="3" spans="2:8" ht="21.95" customHeight="1">
      <c r="B3" s="216" t="s">
        <v>279</v>
      </c>
      <c r="C3" s="216"/>
      <c r="D3" s="216"/>
      <c r="E3" s="216"/>
      <c r="F3" s="216"/>
      <c r="G3" s="216"/>
      <c r="H3" s="216"/>
    </row>
    <row r="4" spans="2:8" ht="21.95" customHeight="1">
      <c r="B4" s="100"/>
      <c r="C4" s="100"/>
      <c r="D4" s="100"/>
      <c r="E4" s="100"/>
      <c r="F4" s="100"/>
      <c r="G4" s="100"/>
      <c r="H4" s="100"/>
    </row>
    <row r="5" spans="2:8" ht="21.95" customHeight="1">
      <c r="B5" s="198" t="s">
        <v>280</v>
      </c>
      <c r="C5" s="198"/>
      <c r="D5" s="198"/>
      <c r="E5" s="198"/>
      <c r="F5" s="198"/>
      <c r="G5" s="198"/>
      <c r="H5" s="198"/>
    </row>
    <row r="6" spans="2:8" ht="33.950000000000003" customHeight="1">
      <c r="B6" s="217" t="s">
        <v>281</v>
      </c>
      <c r="C6" s="200"/>
      <c r="D6" s="200"/>
      <c r="E6" s="200"/>
      <c r="F6" s="200"/>
      <c r="G6" s="200"/>
      <c r="H6" s="201"/>
    </row>
    <row r="7" spans="2:8" ht="33.950000000000003" customHeight="1">
      <c r="B7" s="218"/>
      <c r="C7" s="192"/>
      <c r="D7" s="192"/>
      <c r="E7" s="192"/>
      <c r="F7" s="192"/>
      <c r="G7" s="192"/>
      <c r="H7" s="193"/>
    </row>
    <row r="8" spans="2:8" ht="33.950000000000003" customHeight="1">
      <c r="B8" s="219"/>
      <c r="C8" s="220"/>
      <c r="D8" s="220"/>
      <c r="E8" s="220"/>
      <c r="F8" s="220"/>
      <c r="G8" s="220"/>
      <c r="H8" s="221"/>
    </row>
    <row r="9" spans="2:8" ht="21.95" customHeight="1">
      <c r="B9" s="100"/>
      <c r="C9" s="100"/>
      <c r="D9" s="100"/>
      <c r="E9" s="100"/>
      <c r="F9" s="100"/>
      <c r="G9" s="100"/>
      <c r="H9" s="100"/>
    </row>
    <row r="10" spans="2:8" ht="21.95" customHeight="1">
      <c r="B10" s="198" t="s">
        <v>282</v>
      </c>
      <c r="C10" s="198"/>
      <c r="D10" s="198"/>
      <c r="E10" s="198"/>
      <c r="F10" s="198"/>
      <c r="G10" s="198"/>
      <c r="H10" s="198"/>
    </row>
    <row r="11" spans="2:8" ht="75.95" customHeight="1">
      <c r="B11" s="77" t="s">
        <v>283</v>
      </c>
      <c r="C11" s="80" t="s">
        <v>284</v>
      </c>
      <c r="D11" s="71" t="s">
        <v>285</v>
      </c>
      <c r="E11" s="71"/>
      <c r="F11" s="71"/>
      <c r="G11" s="71"/>
      <c r="H11" s="72"/>
    </row>
    <row r="12" spans="2:8" ht="75.95" customHeight="1">
      <c r="B12" s="78" t="s">
        <v>286</v>
      </c>
      <c r="C12" s="81" t="s">
        <v>287</v>
      </c>
      <c r="D12" s="73" t="s">
        <v>288</v>
      </c>
      <c r="E12" s="73"/>
      <c r="F12" s="73"/>
      <c r="G12" s="73"/>
      <c r="H12" s="74"/>
    </row>
    <row r="13" spans="2:8" ht="75.95" customHeight="1">
      <c r="B13" s="79" t="s">
        <v>289</v>
      </c>
      <c r="C13" s="82" t="s">
        <v>290</v>
      </c>
      <c r="D13" s="75" t="s">
        <v>291</v>
      </c>
      <c r="E13" s="75"/>
      <c r="F13" s="75"/>
      <c r="G13" s="75"/>
      <c r="H13" s="76"/>
    </row>
    <row r="14" spans="2:8" ht="21.95" customHeight="1">
      <c r="B14" s="100"/>
      <c r="C14" s="100"/>
      <c r="D14" s="100"/>
      <c r="E14" s="100"/>
      <c r="F14" s="100"/>
      <c r="G14" s="100"/>
      <c r="H14" s="100"/>
    </row>
    <row r="15" spans="2:8" ht="21.95" customHeight="1">
      <c r="B15" s="198" t="s">
        <v>292</v>
      </c>
      <c r="C15" s="198"/>
      <c r="D15" s="198"/>
      <c r="E15" s="198"/>
      <c r="F15" s="198"/>
      <c r="G15" s="198"/>
      <c r="H15" s="198"/>
    </row>
    <row r="16" spans="2:8" ht="36" customHeight="1">
      <c r="B16" s="184" t="s">
        <v>293</v>
      </c>
      <c r="C16" s="184" t="s">
        <v>294</v>
      </c>
      <c r="D16" s="184" t="s">
        <v>295</v>
      </c>
      <c r="E16" s="208" t="s">
        <v>296</v>
      </c>
      <c r="F16" s="208"/>
      <c r="G16" s="208"/>
      <c r="H16" s="208"/>
    </row>
    <row r="17" spans="2:8" ht="36" customHeight="1">
      <c r="B17" s="88" t="s">
        <v>297</v>
      </c>
      <c r="C17" s="84" t="s">
        <v>298</v>
      </c>
      <c r="D17" s="84" t="s">
        <v>299</v>
      </c>
      <c r="E17" s="209" t="s">
        <v>300</v>
      </c>
      <c r="F17" s="209"/>
      <c r="G17" s="209"/>
      <c r="H17" s="210"/>
    </row>
    <row r="18" spans="2:8" ht="36" customHeight="1">
      <c r="B18" s="89" t="s">
        <v>301</v>
      </c>
      <c r="C18" s="185" t="s">
        <v>302</v>
      </c>
      <c r="D18" s="185" t="s">
        <v>303</v>
      </c>
      <c r="E18" s="211" t="s">
        <v>304</v>
      </c>
      <c r="F18" s="211"/>
      <c r="G18" s="211"/>
      <c r="H18" s="212"/>
    </row>
    <row r="19" spans="2:8" ht="36" customHeight="1">
      <c r="B19" s="89" t="s">
        <v>305</v>
      </c>
      <c r="C19" s="185" t="s">
        <v>306</v>
      </c>
      <c r="D19" s="185" t="s">
        <v>307</v>
      </c>
      <c r="E19" s="213" t="s">
        <v>308</v>
      </c>
      <c r="F19" s="213"/>
      <c r="G19" s="213"/>
      <c r="H19" s="214"/>
    </row>
    <row r="20" spans="2:8" ht="36" customHeight="1">
      <c r="B20" s="90" t="s">
        <v>309</v>
      </c>
      <c r="C20" s="187" t="s">
        <v>310</v>
      </c>
      <c r="D20" s="187" t="s">
        <v>311</v>
      </c>
      <c r="E20" s="202" t="s">
        <v>312</v>
      </c>
      <c r="F20" s="202"/>
      <c r="G20" s="202"/>
      <c r="H20" s="203"/>
    </row>
    <row r="21" spans="2:8" ht="21.95" customHeight="1">
      <c r="B21" s="100"/>
      <c r="C21" s="100"/>
      <c r="D21" s="100"/>
      <c r="E21" s="100"/>
      <c r="F21" s="100"/>
      <c r="G21" s="100"/>
      <c r="H21" s="100"/>
    </row>
    <row r="22" spans="2:8" ht="21.95" customHeight="1">
      <c r="B22" s="198" t="s">
        <v>313</v>
      </c>
      <c r="C22" s="198"/>
      <c r="D22" s="198"/>
      <c r="E22" s="198"/>
      <c r="F22" s="198"/>
      <c r="G22" s="198"/>
      <c r="H22" s="198"/>
    </row>
    <row r="23" spans="2:8" ht="48" customHeight="1">
      <c r="B23" s="101" t="s">
        <v>314</v>
      </c>
      <c r="C23" s="101" t="s">
        <v>315</v>
      </c>
      <c r="D23" s="199" t="s">
        <v>316</v>
      </c>
      <c r="E23" s="199"/>
      <c r="F23" s="199"/>
      <c r="G23" s="199"/>
      <c r="H23" s="199"/>
    </row>
    <row r="24" spans="2:8" ht="48" customHeight="1">
      <c r="B24" s="91" t="s">
        <v>317</v>
      </c>
      <c r="C24" s="189" t="s">
        <v>318</v>
      </c>
      <c r="D24" s="204" t="s">
        <v>319</v>
      </c>
      <c r="E24" s="204"/>
      <c r="F24" s="204"/>
      <c r="G24" s="204"/>
      <c r="H24" s="205"/>
    </row>
    <row r="25" spans="2:8" ht="48" customHeight="1">
      <c r="B25" s="92" t="s">
        <v>320</v>
      </c>
      <c r="C25" s="190" t="s">
        <v>321</v>
      </c>
      <c r="D25" s="206" t="s">
        <v>322</v>
      </c>
      <c r="E25" s="206"/>
      <c r="F25" s="206"/>
      <c r="G25" s="206"/>
      <c r="H25" s="207"/>
    </row>
    <row r="26" spans="2:8" ht="48" customHeight="1">
      <c r="B26" s="93" t="s">
        <v>323</v>
      </c>
      <c r="C26" s="191" t="s">
        <v>324</v>
      </c>
      <c r="D26" s="196" t="s">
        <v>325</v>
      </c>
      <c r="E26" s="196"/>
      <c r="F26" s="196"/>
      <c r="G26" s="196"/>
      <c r="H26" s="197"/>
    </row>
    <row r="27" spans="2:8" ht="21.95" customHeight="1">
      <c r="B27" s="100"/>
      <c r="C27" s="100"/>
      <c r="D27" s="100"/>
      <c r="E27" s="100"/>
      <c r="F27" s="100"/>
      <c r="G27" s="100"/>
      <c r="H27" s="100"/>
    </row>
    <row r="28" spans="2:8" ht="21.95" customHeight="1">
      <c r="B28" s="198" t="s">
        <v>326</v>
      </c>
      <c r="C28" s="198"/>
      <c r="D28" s="198"/>
      <c r="E28" s="198"/>
      <c r="F28" s="198"/>
      <c r="G28" s="198"/>
      <c r="H28" s="198"/>
    </row>
    <row r="29" spans="2:8" ht="36" customHeight="1">
      <c r="B29" s="184" t="s">
        <v>327</v>
      </c>
      <c r="C29" s="184" t="s">
        <v>328</v>
      </c>
      <c r="D29" s="184" t="s">
        <v>329</v>
      </c>
      <c r="E29" s="184" t="s">
        <v>260</v>
      </c>
      <c r="F29" s="184" t="s">
        <v>330</v>
      </c>
      <c r="G29" s="184" t="s">
        <v>268</v>
      </c>
      <c r="H29" s="184" t="s">
        <v>331</v>
      </c>
    </row>
    <row r="30" spans="2:8" ht="36" customHeight="1">
      <c r="B30" s="83" t="s">
        <v>332</v>
      </c>
      <c r="C30" s="84" t="s">
        <v>333</v>
      </c>
      <c r="D30" s="84" t="s">
        <v>334</v>
      </c>
      <c r="E30" s="84" t="s">
        <v>263</v>
      </c>
      <c r="F30" s="84" t="s">
        <v>335</v>
      </c>
      <c r="G30" s="94">
        <f>'Sensitivity &amp; Scenarios'!H17</f>
        <v>674.30758020858934</v>
      </c>
      <c r="H30" s="85" t="s">
        <v>336</v>
      </c>
    </row>
    <row r="31" spans="2:8" ht="36" customHeight="1">
      <c r="B31" s="86" t="s">
        <v>337</v>
      </c>
      <c r="C31" s="185" t="s">
        <v>338</v>
      </c>
      <c r="D31" s="185" t="s">
        <v>339</v>
      </c>
      <c r="E31" s="185" t="s">
        <v>205</v>
      </c>
      <c r="F31" s="185" t="s">
        <v>340</v>
      </c>
      <c r="G31" s="95">
        <f>'Sensitivity &amp; Scenarios'!H18</f>
        <v>1004.4997621608725</v>
      </c>
      <c r="H31" s="186" t="s">
        <v>341</v>
      </c>
    </row>
    <row r="32" spans="2:8" ht="36" customHeight="1">
      <c r="B32" s="86" t="s">
        <v>342</v>
      </c>
      <c r="C32" s="185" t="s">
        <v>343</v>
      </c>
      <c r="D32" s="185" t="s">
        <v>344</v>
      </c>
      <c r="E32" s="185" t="s">
        <v>264</v>
      </c>
      <c r="F32" s="185" t="s">
        <v>345</v>
      </c>
      <c r="G32" s="95">
        <f>'Sensitivity &amp; Scenarios'!H19</f>
        <v>1611.8798843704942</v>
      </c>
      <c r="H32" s="186" t="s">
        <v>346</v>
      </c>
    </row>
    <row r="33" spans="2:8" ht="36" customHeight="1">
      <c r="B33" s="87" t="s">
        <v>347</v>
      </c>
      <c r="C33" s="187" t="s">
        <v>348</v>
      </c>
      <c r="D33" s="187" t="s">
        <v>349</v>
      </c>
      <c r="E33" s="187" t="s">
        <v>350</v>
      </c>
      <c r="F33" s="187" t="s">
        <v>351</v>
      </c>
      <c r="G33" s="96">
        <f>'Valuation Output'!C41</f>
        <v>1012.0479305645116</v>
      </c>
      <c r="H33" s="188" t="s">
        <v>352</v>
      </c>
    </row>
    <row r="34" spans="2:8" ht="21.95" customHeight="1">
      <c r="B34" s="100"/>
      <c r="C34" s="100"/>
      <c r="D34" s="100"/>
      <c r="E34" s="100"/>
      <c r="F34" s="100"/>
      <c r="G34" s="100"/>
      <c r="H34" s="100"/>
    </row>
    <row r="35" spans="2:8" ht="21.95" customHeight="1">
      <c r="B35" s="198" t="s">
        <v>353</v>
      </c>
      <c r="C35" s="198"/>
      <c r="D35" s="198"/>
      <c r="E35" s="198"/>
      <c r="F35" s="198"/>
      <c r="G35" s="198"/>
      <c r="H35" s="198"/>
    </row>
    <row r="36" spans="2:8" ht="38.1" customHeight="1">
      <c r="B36" s="101" t="s">
        <v>354</v>
      </c>
      <c r="C36" s="101" t="s">
        <v>355</v>
      </c>
      <c r="D36" s="199" t="s">
        <v>356</v>
      </c>
      <c r="E36" s="199"/>
      <c r="F36" s="199"/>
      <c r="G36" s="199"/>
      <c r="H36" s="199"/>
    </row>
    <row r="37" spans="2:8" ht="38.1" customHeight="1">
      <c r="B37" s="181" t="s">
        <v>357</v>
      </c>
      <c r="C37" s="97" t="s">
        <v>358</v>
      </c>
      <c r="D37" s="200" t="s">
        <v>359</v>
      </c>
      <c r="E37" s="200"/>
      <c r="F37" s="200"/>
      <c r="G37" s="200"/>
      <c r="H37" s="201"/>
    </row>
    <row r="38" spans="2:8" ht="38.1" customHeight="1">
      <c r="B38" s="182" t="s">
        <v>360</v>
      </c>
      <c r="C38" s="98" t="s">
        <v>361</v>
      </c>
      <c r="D38" s="192" t="s">
        <v>362</v>
      </c>
      <c r="E38" s="192"/>
      <c r="F38" s="192"/>
      <c r="G38" s="192"/>
      <c r="H38" s="193"/>
    </row>
    <row r="39" spans="2:8" ht="38.1" customHeight="1">
      <c r="B39" s="182" t="s">
        <v>363</v>
      </c>
      <c r="C39" s="98" t="s">
        <v>364</v>
      </c>
      <c r="D39" s="192" t="s">
        <v>365</v>
      </c>
      <c r="E39" s="192"/>
      <c r="F39" s="192"/>
      <c r="G39" s="192"/>
      <c r="H39" s="193"/>
    </row>
    <row r="40" spans="2:8" ht="38.1" customHeight="1">
      <c r="B40" s="183" t="s">
        <v>366</v>
      </c>
      <c r="C40" s="99" t="s">
        <v>367</v>
      </c>
      <c r="D40" s="194" t="s">
        <v>368</v>
      </c>
      <c r="E40" s="194"/>
      <c r="F40" s="194"/>
      <c r="G40" s="194"/>
      <c r="H40" s="195"/>
    </row>
  </sheetData>
  <mergeCells count="23">
    <mergeCell ref="B2:H2"/>
    <mergeCell ref="B3:H3"/>
    <mergeCell ref="B5:H5"/>
    <mergeCell ref="B6:H8"/>
    <mergeCell ref="B10:H10"/>
    <mergeCell ref="B15:H15"/>
    <mergeCell ref="E16:H16"/>
    <mergeCell ref="E17:H17"/>
    <mergeCell ref="E18:H18"/>
    <mergeCell ref="E19:H19"/>
    <mergeCell ref="E20:H20"/>
    <mergeCell ref="B22:H22"/>
    <mergeCell ref="D23:H23"/>
    <mergeCell ref="D24:H24"/>
    <mergeCell ref="D25:H25"/>
    <mergeCell ref="D38:H38"/>
    <mergeCell ref="D39:H39"/>
    <mergeCell ref="D40:H40"/>
    <mergeCell ref="D26:H26"/>
    <mergeCell ref="B28:H28"/>
    <mergeCell ref="B35:H35"/>
    <mergeCell ref="D36:H36"/>
    <mergeCell ref="D37:H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2026-07-16T08:55:40Z</dcterms:created>
  <dcterms:modified xsi:type="dcterms:W3CDTF">2026-07-17T06:19:19Z</dcterms:modified>
  <cp:category/>
  <cp:contentStatus/>
</cp:coreProperties>
</file>